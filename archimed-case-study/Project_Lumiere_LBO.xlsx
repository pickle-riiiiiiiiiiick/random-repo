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Case_Data" sheetId="3" state="visible" r:id="rId5"/>
    <sheet name="Transaction" sheetId="4" state="visible" r:id="rId6"/>
    <sheet name="LBO_Base" sheetId="5" state="visible" r:id="rId7"/>
    <sheet name="LBO_Mgmt" sheetId="6" state="visible" r:id="rId8"/>
    <sheet name="LBO_Down" sheetId="7" state="visible" r:id="rId9"/>
    <sheet name="Retur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<sst xmlns="http://schemas.openxmlformats.org/spreadsheetml/2006/main" count="1357" uniqueCount="437">
  <si>
    <t xml:space="preserve">Project Lumière – LBO model</t>
  </si>
  <si>
    <t xml:space="preserve">ARCHIMED Investment Director case study (practice). Fictional company; €m unless stated.</t>
  </si>
  <si>
    <t xml:space="preserve">How to use</t>
  </si>
  <si>
    <t xml:space="preserve">Change inputs only on the Inputs sheet (and the sensitivity axes on Returns). Every other number is a formula.</t>
  </si>
  <si>
    <t xml:space="preserve">Colour code: blue text = hardcoded input · yellow fill = key lever to flex live · black = formula · green = link to another sheet.</t>
  </si>
  <si>
    <t xml:space="preserve">Three full LBOs run side by side: LBO_Base (ARCHIMED case), LBO_Mgmt (vendor plan restated), LBO_Down (downside).</t>
  </si>
  <si>
    <t xml:space="preserve">Interview levers: entry multiple (Inputs C9), leverage (C28), earn-out (C21), growth and margin flex (C52–C53), exit multiples (D59–F59).</t>
  </si>
  <si>
    <t xml:space="preserve">Interest is charged on opening balances, so the model has no circular references and needs no iterative calculation.</t>
  </si>
  <si>
    <t xml:space="preserve">Sheet guide</t>
  </si>
  <si>
    <t xml:space="preserve">Sheet</t>
  </si>
  <si>
    <t xml:space="preserve">What it does</t>
  </si>
  <si>
    <t xml:space="preserve">Inputs</t>
  </si>
  <si>
    <t xml:space="preserve">Every assumption, with its source in column I</t>
  </si>
  <si>
    <t xml:space="preserve">Case_Data</t>
  </si>
  <si>
    <t xml:space="preserve">Information-memo data: history, vendor vs. ARCHIMED EBITDA bridge, vendor plan, KPIs</t>
  </si>
  <si>
    <t xml:space="preserve">Transaction</t>
  </si>
  <si>
    <t xml:space="preserve">Sources and uses, ownership, entry metrics</t>
  </si>
  <si>
    <t xml:space="preserve">LBO_Base / LBO_Mgmt / LBO_Down</t>
  </si>
  <si>
    <t xml:space="preserve">Revenue and EBITDA build, add-ons, free cash flow, tax, debt, credit stats, returns, equity bridge</t>
  </si>
  <si>
    <t xml:space="preserve">Returns</t>
  </si>
  <si>
    <t xml:space="preserve">Case comparison, value bridge, bid ladder, IRR and MOIC grids, model checks</t>
  </si>
  <si>
    <t xml:space="preserve">Key outputs (live)</t>
  </si>
  <si>
    <t xml:space="preserve">Metric</t>
  </si>
  <si>
    <t xml:space="preserve">Base</t>
  </si>
  <si>
    <t xml:space="preserve">Management</t>
  </si>
  <si>
    <t xml:space="preserve">Downside</t>
  </si>
  <si>
    <t xml:space="preserve">Entry enterprise value (€m)</t>
  </si>
  <si>
    <t xml:space="preserve">Entry EV / underwritten EBITDA</t>
  </si>
  <si>
    <t xml:space="preserve">Entry EV / vendor Adjusted EBITDA</t>
  </si>
  <si>
    <t xml:space="preserve">Total equity invested (€m)</t>
  </si>
  <si>
    <t xml:space="preserve">ARCHIMED equity (€m)</t>
  </si>
  <si>
    <t xml:space="preserve">IRR</t>
  </si>
  <si>
    <t xml:space="preserve">MOIC</t>
  </si>
  <si>
    <t xml:space="preserve">All model checks OK (1 = yes)</t>
  </si>
  <si>
    <t xml:space="preserve">Project Lumière – inputs and assumptions</t>
  </si>
  <si>
    <t xml:space="preserve">Blue = hardcoded input · yellow fill = key lever to flex · black = formula · green = link to another sheet. €m unless stated.</t>
  </si>
  <si>
    <t xml:space="preserve">1. Transaction and valuation</t>
  </si>
  <si>
    <t xml:space="preserve">FY2026E revenue</t>
  </si>
  <si>
    <t xml:space="preserve">€m</t>
  </si>
  <si>
    <t xml:space="preserve">FY2026E reported EBITDA (IFRS 16)</t>
  </si>
  <si>
    <t xml:space="preserve">FY2026E vendor Adjusted EBITDA</t>
  </si>
  <si>
    <t xml:space="preserve">Case_Data: vendor definition</t>
  </si>
  <si>
    <t xml:space="preserve">FY2026E underwritten EBITDA (ARCHIMED definition)</t>
  </si>
  <si>
    <t xml:space="preserve">Case_Data: pre-IFRS 16, IVDR costs treated as recurring, standalone costs included</t>
  </si>
  <si>
    <t xml:space="preserve">x</t>
  </si>
  <si>
    <t xml:space="preserve">ARCHIMED bid: highest price at which the base case clears 20% IRR / 2.5x MOIC</t>
  </si>
  <si>
    <t xml:space="preserve">Entry enterprise value</t>
  </si>
  <si>
    <t xml:space="preserve">Implied EV / vendor Adjusted EBITDA</t>
  </si>
  <si>
    <t xml:space="preserve">Implied EV / FY2026E revenue</t>
  </si>
  <si>
    <t xml:space="preserve">Vendor price expectation</t>
  </si>
  <si>
    <t xml:space="preserve">Case brief: sell-side guidance, cash-free / debt-free</t>
  </si>
  <si>
    <t xml:space="preserve">Vendor price / underwritten EBITDA</t>
  </si>
  <si>
    <t xml:space="preserve">Vendor price / vendor Adjusted EBITDA</t>
  </si>
  <si>
    <t xml:space="preserve">Transaction costs (% of EV)</t>
  </si>
  <si>
    <t xml:space="preserve">%</t>
  </si>
  <si>
    <t xml:space="preserve">Case brief: M&amp;A, due diligence, legal, W&amp;I insurance, registration duties</t>
  </si>
  <si>
    <t xml:space="preserve">Minimum cash (funded at closing)</t>
  </si>
  <si>
    <t xml:space="preserve">Case brief</t>
  </si>
  <si>
    <t xml:space="preserve">Founder rollover</t>
  </si>
  <si>
    <t xml:space="preserve">Case brief: founder reinvests c.€40m alongside ARCHIMED (same instrument strip)</t>
  </si>
  <si>
    <t xml:space="preserve">Management rollover</t>
  </si>
  <si>
    <t xml:space="preserve">ARCHIMED proposal: existing managers reinvest part of their 8% stake</t>
  </si>
  <si>
    <t xml:space="preserve">MIP: management share of capital gain</t>
  </si>
  <si>
    <t xml:space="preserve">ARCHIMED proposal: sweet equity worth 10% of the equity gain at exit</t>
  </si>
  <si>
    <t xml:space="preserve">Earn-out: maximum payment</t>
  </si>
  <si>
    <t xml:space="preserve">ARCHIMED proposal: bridges the gap to the vendor price only if the plan is delivered</t>
  </si>
  <si>
    <t xml:space="preserve">Earn-out: measurement year (organic EBITDA)</t>
  </si>
  <si>
    <t xml:space="preserve">year</t>
  </si>
  <si>
    <t xml:space="preserve">ARCHIMED proposal</t>
  </si>
  <si>
    <t xml:space="preserve">Earn-out: payment year</t>
  </si>
  <si>
    <t xml:space="preserve">Earn-out: organic EBITDA floor (0% paid)</t>
  </si>
  <si>
    <t xml:space="preserve">Linear payout between floor and cap; base case FY2028 organic EBITDA is c.€49m</t>
  </si>
  <si>
    <t xml:space="preserve">Earn-out: organic EBITDA cap (100% paid)</t>
  </si>
  <si>
    <t xml:space="preserve">Management plan FY2028 EBITDA on the ARCHIMED definition is c.€54m, so the plan earns 100%</t>
  </si>
  <si>
    <t xml:space="preserve">2. Financing</t>
  </si>
  <si>
    <t xml:space="preserve">Unitranche leverage (x underwritten EBITDA)</t>
  </si>
  <si>
    <t xml:space="preserve">Case brief: indicative terms, up to 6.0x</t>
  </si>
  <si>
    <t xml:space="preserve">Unitranche at closing</t>
  </si>
  <si>
    <t xml:space="preserve">Unitranche upfront fee</t>
  </si>
  <si>
    <t xml:space="preserve">Capex and acquisition facility (CAF) commitment</t>
  </si>
  <si>
    <t xml:space="preserve">Revolving credit facility (RCF) commitment</t>
  </si>
  <si>
    <t xml:space="preserve">Upfront fee on CAF and RCF</t>
  </si>
  <si>
    <t xml:space="preserve">3-month Euribor (flat)</t>
  </si>
  <si>
    <t xml:space="preserve">Case brief assumption</t>
  </si>
  <si>
    <t xml:space="preserve">Unitranche margin</t>
  </si>
  <si>
    <t xml:space="preserve">CAF margin</t>
  </si>
  <si>
    <t xml:space="preserve">RCF margin</t>
  </si>
  <si>
    <t xml:space="preserve">Commitment fee (% of margin, on undrawn amounts)</t>
  </si>
  <si>
    <t xml:space="preserve">Interest income on cash</t>
  </si>
  <si>
    <t xml:space="preserve">Assumption</t>
  </si>
  <si>
    <t xml:space="preserve">Excess cash used to prepay the unitranche</t>
  </si>
  <si>
    <t xml:space="preserve">Assumption: voluntary prepayment at par of cash above the minimum</t>
  </si>
  <si>
    <t xml:space="preserve">Net leverage covenant (maintenance test)</t>
  </si>
  <si>
    <t xml:space="preserve">Assumption: set with c.30% EBITDA headroom to closing leverage of 5.75x</t>
  </si>
  <si>
    <t xml:space="preserve">3. Operating cases (organic, ARCHIMED EBITDA definition)</t>
  </si>
  <si>
    <t xml:space="preserve">Unit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</si>
  <si>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</si>
  <si>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</si>
  <si>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</si>
  <si>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</si>
  <si>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</si>
  <si>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Source / rationale</t>
  </si>
  <si>
    <t xml:space="preserve">Revenue growth – Base (ARCHIMED)</t>
  </si>
  <si>
    <t xml:space="preserve">c.75% of plan growth: market 6–7% + CLIA migration + measured US ramp; history 6.4–7.0%</t>
  </si>
  <si>
    <t xml:space="preserve">Revenue growth – Management (vendor plan)</t>
  </si>
  <si>
    <t xml:space="preserve">Case_Data: vendor business plan</t>
  </si>
  <si>
    <t xml:space="preserve">Revenue growth – Downside</t>
  </si>
  <si>
    <t xml:space="preserve">France tariff cuts, US launch slips two years, IVDR delays</t>
  </si>
  <si>
    <t xml:space="preserve">EBITDA margin – Base (ARCHIMED)</t>
  </si>
  <si>
    <t xml:space="preserve">+410bp over five years (vendor plan +580bp): CLIA mix, pricing, plant automation, G&amp;A leverage</t>
  </si>
  <si>
    <t xml:space="preserve">EBITDA margin – Management (vendor plan, restated)</t>
  </si>
  <si>
    <t xml:space="preserve">Vendor margins less the FY2026E definitional gap in C51</t>
  </si>
  <si>
    <t xml:space="preserve">EBITDA margin – Downside</t>
  </si>
  <si>
    <t xml:space="preserve">No margin expansion: price pressure and IVDR costs absorb operating leverage</t>
  </si>
  <si>
    <t xml:space="preserve">Definitional gap: vendor Adjusted vs. underwritten margin (FY2026E)</t>
  </si>
  <si>
    <t xml:space="preserve">Held constant to restate the vendor plan to the ARCHIMED EBITDA definition</t>
  </si>
  <si>
    <t xml:space="preserve">Flex: revenue growth delta, all cases (e.g. -1.0%)</t>
  </si>
  <si>
    <t xml:space="preserve">Interview lever: adds to every year of every case</t>
  </si>
  <si>
    <t xml:space="preserve">Flex: EBITDA margin delta, all cases (e.g. -1.0%)</t>
  </si>
  <si>
    <t xml:space="preserve">4. Case settings</t>
  </si>
  <si>
    <t xml:space="preserve">Setting</t>
  </si>
  <si>
    <t xml:space="preserve">Include add-on A (1 = yes, 0 = no)</t>
  </si>
  <si>
    <t xml:space="preserve">flag</t>
  </si>
  <si>
    <t xml:space="preserve">Downside assumes no M&amp;A (capital preserved for the core business)</t>
  </si>
  <si>
    <t xml:space="preserve">Include add-on B (1 = yes, 0 = no)</t>
  </si>
  <si>
    <t xml:space="preserve">Exit EV / EBITDA multiple</t>
  </si>
  <si>
    <t xml:space="preserve">Base = entry multiple (no multiple expansion); downside = 1.5x compression</t>
  </si>
  <si>
    <t xml:space="preserve">5. Cash flow, tax and exit</t>
  </si>
  <si>
    <t xml:space="preserve">D&amp;A (% of revenue)</t>
  </si>
  <si>
    <t xml:space="preserve">Maintenance and placed-analyzer capex (% of revenue)</t>
  </si>
  <si>
    <t xml:space="preserve">Capitalised R&amp;D (% of revenue)</t>
  </si>
  <si>
    <t xml:space="preserve">Growth capex (CLIA industrialisation, US hub)</t>
  </si>
  <si>
    <t xml:space="preserve">Case brief: €5m, €4m, €2m in FY2027–FY2029 (entered in the year columns D–H)</t>
  </si>
  <si>
    <t xml:space="preserve">Net working capital (% of revenue)</t>
  </si>
  <si>
    <t xml:space="preserve">Case brief; FY2026E actual 22.0%</t>
  </si>
  <si>
    <t xml:space="preserve">Corporate income tax rate</t>
  </si>
  <si>
    <t xml:space="preserve">Case brief: French statutory rate</t>
  </si>
  <si>
    <t xml:space="preserve">Interest cap: % of tax EBITDA</t>
  </si>
  <si>
    <t xml:space="preserve">Case brief: French interest limitation (EBITDA approximates tax EBITDA)</t>
  </si>
  <si>
    <t xml:space="preserve">Interest cap: safe harbour</t>
  </si>
  <si>
    <t xml:space="preserve">Exit costs (% of exit EV)</t>
  </si>
  <si>
    <t xml:space="preserve">6. Add-on acquisitions</t>
  </si>
  <si>
    <t xml:space="preserve">Add-on A (DE)</t>
  </si>
  <si>
    <t xml:space="preserve">Add-on B (US)</t>
  </si>
  <si>
    <t xml:space="preserve">Acquisition year (closes 1 January)</t>
  </si>
  <si>
    <t xml:space="preserve">ARCHIMED plan: A in year 2 (after 100-day plan), B in year 3</t>
  </si>
  <si>
    <t xml:space="preserve">Revenue in the year before acquisition</t>
  </si>
  <si>
    <t xml:space="preserve">Case brief: add-on pipeline</t>
  </si>
  <si>
    <t xml:space="preserve">Revenue growth after acquisition</t>
  </si>
  <si>
    <t xml:space="preserve">A: mature ELISA menu; B: US autoimmune and allergy growth</t>
  </si>
  <si>
    <t xml:space="preserve">Standalone EBITDA margin</t>
  </si>
  <si>
    <t xml:space="preserve">Purchase multiple (EV / pre-acquisition EBITDA)</t>
  </si>
  <si>
    <t xml:space="preserve">Case brief price indications</t>
  </si>
  <si>
    <t xml:space="preserve">Deal costs (% of EV)</t>
  </si>
  <si>
    <t xml:space="preserve">One-off integration costs (acquisition year)</t>
  </si>
  <si>
    <t xml:space="preserve">Assumption: A plant transfer and IVDR file migration; B systems</t>
  </si>
  <si>
    <t xml:space="preserve">Run-rate cost synergies</t>
  </si>
  <si>
    <t xml:space="preserve">A: manufacturing in Lyon, procurement, DACH sales overlap; B: back office. Revenue synergies excluded</t>
  </si>
  <si>
    <t xml:space="preserve">Synergy phasing – year 1</t>
  </si>
  <si>
    <t xml:space="preserve">Synergy phasing – year 2</t>
  </si>
  <si>
    <t xml:space="preserve">Synergy phasing – year 3 onwards</t>
  </si>
  <si>
    <t xml:space="preserve">Purchase enterprise value</t>
  </si>
  <si>
    <t xml:space="preserve">Purchase price incl. deal costs</t>
  </si>
  <si>
    <t xml:space="preserve">Pre-acquisition EBITDA</t>
  </si>
  <si>
    <t xml:space="preserve">Project Lumière – case data from the information memo</t>
  </si>
  <si>
    <t xml:space="preserve">Fictional company. All figures as given in the case brief; €m, financial year to December.</t>
  </si>
  <si>
    <t xml:space="preserve">Historical P&amp;L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</si>
  <si>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</si>
  <si>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</si>
  <si>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</si>
  <si>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</si>
  <si>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</si>
  <si>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Revenue – autoimmunity</t>
  </si>
  <si>
    <t xml:space="preserve">Revenue – allergy</t>
  </si>
  <si>
    <t xml:space="preserve">Revenue – other serology</t>
  </si>
  <si>
    <t xml:space="preserve">Total revenue</t>
  </si>
  <si>
    <t xml:space="preserve">Revenue growth</t>
  </si>
  <si>
    <t xml:space="preserve">Gross profit</t>
  </si>
  <si>
    <t xml:space="preserve">Information memo; reagent gross margins improve with the shift to automated CLIA</t>
  </si>
  <si>
    <t xml:space="preserve">Gross margin</t>
  </si>
  <si>
    <t xml:space="preserve">Sales and marketing</t>
  </si>
  <si>
    <t xml:space="preserve">R&amp;D (expensed)</t>
  </si>
  <si>
    <t xml:space="preserve">G&amp;A</t>
  </si>
  <si>
    <t xml:space="preserve">Reported EBITDA (IFRS 16)</t>
  </si>
  <si>
    <t xml:space="preserve">Reported EBITDA margin</t>
  </si>
  <si>
    <t xml:space="preserve">EBITDA bridge: vendor presentation vs. ARCHIMED underwriting</t>
  </si>
  <si>
    <t xml:space="preserve">Vendor add-back: IVDR remediation ("one-off")</t>
  </si>
  <si>
    <t xml:space="preserve">Vendor adds back IVDR costs every year; 45 assays still to certify by end-2028/2029</t>
  </si>
  <si>
    <t xml:space="preserve">Vendor Adjusted EBITDA</t>
  </si>
  <si>
    <t xml:space="preserve">Vendor Adjusted EBITDA margin</t>
  </si>
  <si>
    <t xml:space="preserve">ARCHIMED: reverse IVDR add-back (cost recurs until 2029)</t>
  </si>
  <si>
    <t xml:space="preserve">ARCHIMED view: a cost incurred five years running is recurring until the transition ends</t>
  </si>
  <si>
    <t xml:space="preserve">ARCHIMED: IFRS 16 lease costs (restate to pre-IFRS 16)</t>
  </si>
  <si>
    <t xml:space="preserve">Information memo note: plant, office and car leases; lenders and peers use pre-IFRS 16 EBITDA</t>
  </si>
  <si>
    <t xml:space="preserve">ARCHIMED: standalone costs (market-rate CEO, CFO, board)</t>
  </si>
  <si>
    <t xml:space="preserve">Information memo note: founder paid €0.4m; replacement team costs c.€0.6m more a year</t>
  </si>
  <si>
    <t xml:space="preserve">Underwritten EBITDA (pre-IFRS 16, fully loaded)</t>
  </si>
  <si>
    <t xml:space="preserve">Underwritten EBITDA margin</t>
  </si>
  <si>
    <t xml:space="preserve">Vendor Adjusted minus underwritten EBITDA</t>
  </si>
  <si>
    <t xml:space="preserve">Cash flow items</t>
  </si>
  <si>
    <t xml:space="preserve">Capex incl. placed analyzers and capitalised R&amp;D</t>
  </si>
  <si>
    <t xml:space="preserve">Capex, % of revenue</t>
  </si>
  <si>
    <t xml:space="preserve">Net working capital</t>
  </si>
  <si>
    <t xml:space="preserve">Net working capital, % of revenue</t>
  </si>
  <si>
    <t xml:space="preserve">Cash conversion: (underwritten EBITDA – capex – ΔNWC) / EBITDA</t>
  </si>
  <si>
    <t xml:space="preserve">Management business plan (vendor case, no M&amp;A)</t>
  </si>
  <si>
    <t xml:space="preserve">Drivers: US push (30 new FDA submissions), next-gen CLIA analyzer in 2028, price, automation</t>
  </si>
  <si>
    <t xml:space="preserve">Revenue</t>
  </si>
  <si>
    <t xml:space="preserve">Adjusted EBITDA margin (vendor definition)</t>
  </si>
  <si>
    <t xml:space="preserve">Adjusted EBITDA (vendor definition)</t>
  </si>
  <si>
    <t xml:space="preserve">Operating KPIs and revenue mix (FY2026E)</t>
  </si>
  <si>
    <t xml:space="preserve">KPI</t>
  </si>
  <si>
    <t xml:space="preserve">Installed base – total analyzers</t>
  </si>
  <si>
    <t xml:space="preserve">#</t>
  </si>
  <si>
    <t xml:space="preserve">of which automated CLIA analyzers</t>
  </si>
  <si>
    <t xml:space="preserve">of which legacy ELISA / immunoblot processors</t>
  </si>
  <si>
    <t xml:space="preserve">Assay menu</t>
  </si>
  <si>
    <t xml:space="preserve">Assays certified under IVDR</t>
  </si>
  <si>
    <t xml:space="preserve">Assays cleared by the FDA</t>
  </si>
  <si>
    <t xml:space="preserve">Employees (FTE)</t>
  </si>
  <si>
    <t xml:space="preserve">Recurring revenue share</t>
  </si>
  <si>
    <t xml:space="preserve">Top-10 customers, share of revenue</t>
  </si>
  <si>
    <t xml:space="preserve">Largest customer, share of revenue</t>
  </si>
  <si>
    <t xml:space="preserve">Revenue by geography – France</t>
  </si>
  <si>
    <t xml:space="preserve">Revenue by geography – DACH</t>
  </si>
  <si>
    <t xml:space="preserve">Revenue by geography – Italy</t>
  </si>
  <si>
    <t xml:space="preserve">Revenue by geography – Iberia</t>
  </si>
  <si>
    <t xml:space="preserve">Revenue by geography – rest of Europe</t>
  </si>
  <si>
    <t xml:space="preserve">Revenue by geography – United States</t>
  </si>
  <si>
    <t xml:space="preserve">Revenue by geography – rest of world (distributors)</t>
  </si>
  <si>
    <t xml:space="preserve">Total geography</t>
  </si>
  <si>
    <t xml:space="preserve">Revenue by type – reagents and consumables</t>
  </si>
  <si>
    <t xml:space="preserve">Revenue by type – service and other</t>
  </si>
  <si>
    <t xml:space="preserve">Revenue by type – instruments</t>
  </si>
  <si>
    <t xml:space="preserve">Total revenue by type</t>
  </si>
  <si>
    <t xml:space="preserve">Project Lumière – sources and uses at closing (31 December 2026)</t>
  </si>
  <si>
    <t xml:space="preserve">€m unless stated. All cells are formulas driven by the Inputs sheet.</t>
  </si>
  <si>
    <t xml:space="preserve">Uses</t>
  </si>
  <si>
    <t xml:space="preserve">% of total</t>
  </si>
  <si>
    <t xml:space="preserve">Enterprise value (cash-free, debt-free)</t>
  </si>
  <si>
    <t xml:space="preserve">Transaction costs (M&amp;A, due diligence, legal, W&amp;I)</t>
  </si>
  <si>
    <t xml:space="preserve">Financing fees (unitranche, CAF and RCF upfront fees)</t>
  </si>
  <si>
    <t xml:space="preserve">Cash funded to the balance sheet</t>
  </si>
  <si>
    <t xml:space="preserve">Total uses</t>
  </si>
  <si>
    <t xml:space="preserve">Sources</t>
  </si>
  <si>
    <t xml:space="preserve">Unitranche</t>
  </si>
  <si>
    <t xml:space="preserve">ARCHIMED equity (MED Platform II and co-investors)</t>
  </si>
  <si>
    <t xml:space="preserve">Plug: total uses less debt and rollovers</t>
  </si>
  <si>
    <t xml:space="preserve">Total sources</t>
  </si>
  <si>
    <t xml:space="preserve">Check: sources minus uses (should be 0)</t>
  </si>
  <si>
    <t xml:space="preserve">Equity and ownership (before MIP dilution)</t>
  </si>
  <si>
    <t xml:space="preserve">Total equity invested</t>
  </si>
  <si>
    <t xml:space="preserve">ARCHIMED</t>
  </si>
  <si>
    <t xml:space="preserve">All holders invest in the same strip; management MIP comes on top (see Inputs C20)</t>
  </si>
  <si>
    <t xml:space="preserve">Founder</t>
  </si>
  <si>
    <t xml:space="preserve">Entry metrics</t>
  </si>
  <si>
    <t xml:space="preserve">EV / underwritten FY2026E EBITDA</t>
  </si>
  <si>
    <t xml:space="preserve">EV / vendor Adjusted FY2026E EBITDA</t>
  </si>
  <si>
    <t xml:space="preserve">EV / FY2026E revenue</t>
  </si>
  <si>
    <t xml:space="preserve">Unitranche / underwritten EBITDA</t>
  </si>
  <si>
    <t xml:space="preserve">Net debt at closing / underwritten EBITDA</t>
  </si>
  <si>
    <t xml:space="preserve">Equity / total sources</t>
  </si>
  <si>
    <t xml:space="preserve">Unitranche / EV (loan-to-value)</t>
  </si>
  <si>
    <t xml:space="preserve">Total fees / EV</t>
  </si>
  <si>
    <t xml:space="preserve">Project Lumière – LBO model: Base (ARCHIMED) case</t>
  </si>
  <si>
    <t xml:space="preserve">€m unless stated · financial year to December · closing 31 December 2026 · exit 31 December 2031</t>
  </si>
  <si>
    <t xml:space="preserve">Case index (1 = Base, 2 = Management, 3 = Downside)</t>
  </si>
  <si>
    <t xml:space="preserve">Years from closing</t>
  </si>
  <si>
    <t xml:space="preserve">Financial year</t>
  </si>
  <si>
    <t xml:space="preserve">Organic revenue growth</t>
  </si>
  <si>
    <t xml:space="preserve">Inputs rows 45–47 picked by case index, plus the flex delta</t>
  </si>
  <si>
    <t xml:space="preserve">Organic revenue</t>
  </si>
  <si>
    <t xml:space="preserve">Add-on A revenue (Germany)</t>
  </si>
  <si>
    <t xml:space="preserve">Consolidated from 1 January of the acquisition year</t>
  </si>
  <si>
    <t xml:space="preserve">Add-on B revenue (US)</t>
  </si>
  <si>
    <t xml:space="preserve">Total revenue growth</t>
  </si>
  <si>
    <t xml:space="preserve">EBITDA (ARCHIMED definition: pre-IFRS 16, fully loaded)</t>
  </si>
  <si>
    <t xml:space="preserve">Organic EBITDA margin</t>
  </si>
  <si>
    <t xml:space="preserve">Organic EBITDA</t>
  </si>
  <si>
    <t xml:space="preserve">Add-on A EBITDA (standalone)</t>
  </si>
  <si>
    <t xml:space="preserve">Add-on A cost synergies</t>
  </si>
  <si>
    <t xml:space="preserve">Add-on B EBITDA (standalone)</t>
  </si>
  <si>
    <t xml:space="preserve">Add-on B cost synergies</t>
  </si>
  <si>
    <t xml:space="preserve">Total EBITDA</t>
  </si>
  <si>
    <t xml:space="preserve">EBITDA margin</t>
  </si>
  <si>
    <t xml:space="preserve">EBITDA growth</t>
  </si>
  <si>
    <t xml:space="preserve">Free cash flow</t>
  </si>
  <si>
    <t xml:space="preserve">EBITDA</t>
  </si>
  <si>
    <t xml:space="preserve">One-off integration costs</t>
  </si>
  <si>
    <t xml:space="preserve">Maintenance and placed-analyzer capex</t>
  </si>
  <si>
    <t xml:space="preserve">Capitalised R&amp;D</t>
  </si>
  <si>
    <t xml:space="preserve">Growth capex</t>
  </si>
  <si>
    <t xml:space="preserve">Change in net working capital</t>
  </si>
  <si>
    <t xml:space="preserve">Excludes the working capital bought with add-ons (paid for in the purchase price)</t>
  </si>
  <si>
    <t xml:space="preserve">Cash taxes</t>
  </si>
  <si>
    <t xml:space="preserve">Net interest expense</t>
  </si>
  <si>
    <t xml:space="preserve">Earn-out paid to the vendor</t>
  </si>
  <si>
    <t xml:space="preserve">Paid by the company in the payment year; reduces debt paydown</t>
  </si>
  <si>
    <t xml:space="preserve">Add-on acquisitions incl. deal costs</t>
  </si>
  <si>
    <t xml:space="preserve">Cash flow before debt movements</t>
  </si>
  <si>
    <t xml:space="preserve">Cash conversion: (EBITDA – capex – ΔNWC) / EBITDA</t>
  </si>
  <si>
    <t xml:space="preserve">Corporate tax (French interest cap)</t>
  </si>
  <si>
    <t xml:space="preserve">Depreciation and amortisation</t>
  </si>
  <si>
    <t xml:space="preserve">EBIT</t>
  </si>
  <si>
    <t xml:space="preserve">Interest deduction capacity (higher of 30% of EBITDA or €3m)</t>
  </si>
  <si>
    <t xml:space="preserve">French rule: net interest deductible up to the higher of 30% of tax EBITDA or €3m; excess carried forward</t>
  </si>
  <si>
    <t xml:space="preserve">Disallowed interest brought forward</t>
  </si>
  <si>
    <t xml:space="preserve">Deductible interest</t>
  </si>
  <si>
    <t xml:space="preserve">Disallowed interest carried forward</t>
  </si>
  <si>
    <t xml:space="preserve">Taxable income</t>
  </si>
  <si>
    <t xml:space="preserve">Cash tax</t>
  </si>
  <si>
    <t xml:space="preserve">Net working capital (memo)</t>
  </si>
  <si>
    <t xml:space="preserve">Net working capital acquired with add-ons</t>
  </si>
  <si>
    <t xml:space="preserve">Debt and cash (interest on opening balances, so no circularity)</t>
  </si>
  <si>
    <t xml:space="preserve">Unitranche – opening</t>
  </si>
  <si>
    <t xml:space="preserve">Unitranche – prepayment from excess cash</t>
  </si>
  <si>
    <t xml:space="preserve">Unitranche – closing</t>
  </si>
  <si>
    <t xml:space="preserve">Capex and acquisition facility – opening</t>
  </si>
  <si>
    <t xml:space="preserve">Capex and acquisition facility – drawdown</t>
  </si>
  <si>
    <t xml:space="preserve">Add-ons funded 100% by the CAF; any shortfall falls to cash and the RCF</t>
  </si>
  <si>
    <t xml:space="preserve">Capex and acquisition facility – closing</t>
  </si>
  <si>
    <t xml:space="preserve">Revolving credit facility – opening</t>
  </si>
  <si>
    <t xml:space="preserve">Revolving credit facility – drawdown</t>
  </si>
  <si>
    <t xml:space="preserve">Revolving credit facility – repayment</t>
  </si>
  <si>
    <t xml:space="preserve">Revolving credit facility – closing</t>
  </si>
  <si>
    <t xml:space="preserve">Cash – opening</t>
  </si>
  <si>
    <t xml:space="preserve">Drawdown of capex and acquisition facility</t>
  </si>
  <si>
    <t xml:space="preserve">Cash available before RCF</t>
  </si>
  <si>
    <t xml:space="preserve">RCF drawdown / (repayment)</t>
  </si>
  <si>
    <t xml:space="preserve">Cash available before prepayment</t>
  </si>
  <si>
    <t xml:space="preserve">Unitranche prepayment</t>
  </si>
  <si>
    <t xml:space="preserve">Cash above the minimum prepays the unitranche (Inputs C40)</t>
  </si>
  <si>
    <t xml:space="preserve">Cash – closing</t>
  </si>
  <si>
    <t xml:space="preserve">Interest</t>
  </si>
  <si>
    <t xml:space="preserve">Unitranche interest</t>
  </si>
  <si>
    <t xml:space="preserve">Capex and acquisition facility interest</t>
  </si>
  <si>
    <t xml:space="preserve">RCF interest</t>
  </si>
  <si>
    <t xml:space="preserve">Commitment fees on undrawn facilities</t>
  </si>
  <si>
    <t xml:space="preserve">Credit statistics</t>
  </si>
  <si>
    <t xml:space="preserve">Total debt</t>
  </si>
  <si>
    <t xml:space="preserve">Net debt</t>
  </si>
  <si>
    <t xml:space="preserve">Net debt / EBITDA</t>
  </si>
  <si>
    <t xml:space="preserve">EBITDA / net interest</t>
  </si>
  <si>
    <t xml:space="preserve">Covenant headroom (EBITDA could fall by)</t>
  </si>
  <si>
    <t xml:space="preserve">How far EBITDA could fall before breaching the leverage covenant</t>
  </si>
  <si>
    <t xml:space="preserve">Check: net debt roll-forward (should be 0)</t>
  </si>
  <si>
    <t xml:space="preserve">Returns – exit at the end of FY2031</t>
  </si>
  <si>
    <t xml:space="preserve">Exit-year EBITDA (FY2031)</t>
  </si>
  <si>
    <t xml:space="preserve">Exit EV / EBITDA</t>
  </si>
  <si>
    <t xml:space="preserve">Exit enterprise value</t>
  </si>
  <si>
    <t xml:space="preserve">Exit costs</t>
  </si>
  <si>
    <t xml:space="preserve">Net debt at exit</t>
  </si>
  <si>
    <t xml:space="preserve">Exit equity value (100%)</t>
  </si>
  <si>
    <t xml:space="preserve">Equity invested at closing</t>
  </si>
  <si>
    <t xml:space="preserve">Total equity strip from Transaction sheet (ARCHIMED + founder + management)</t>
  </si>
  <si>
    <t xml:space="preserve">Capital gain before MIP</t>
  </si>
  <si>
    <t xml:space="preserve">MIP payout to management</t>
  </si>
  <si>
    <t xml:space="preserve">Exit equity to investors</t>
  </si>
  <si>
    <t xml:space="preserve">MOIC (investors)</t>
  </si>
  <si>
    <t xml:space="preserve">Investor cash flows</t>
  </si>
  <si>
    <t xml:space="preserve">IRR (investors)</t>
  </si>
  <si>
    <t xml:space="preserve">Single entry and exit cash flow: no interim equity injections or dividends</t>
  </si>
  <si>
    <t xml:space="preserve">Check: IRR equals MOIC^(1/5) – 1 (should be 0)</t>
  </si>
  <si>
    <t xml:space="preserve">Returns if exiting at the end of each year (case exit multiple)</t>
  </si>
  <si>
    <t xml:space="preserve">MIP payout</t>
  </si>
  <si>
    <t xml:space="preserve">Equity to investors</t>
  </si>
  <si>
    <t xml:space="preserve">IRR = MOIC^(1/years) – 1</t>
  </si>
  <si>
    <t xml:space="preserve">Equity value bridge: closing to exit</t>
  </si>
  <si>
    <t xml:space="preserve">Organic EBITDA growth × entry multiple</t>
  </si>
  <si>
    <t xml:space="preserve">Valued at the entry multiple; multiple effect shown separately</t>
  </si>
  <si>
    <t xml:space="preserve">Add-on EBITDA incl. synergies × entry multiple</t>
  </si>
  <si>
    <t xml:space="preserve">Exit vs. entry multiple × exit EBITDA</t>
  </si>
  <si>
    <t xml:space="preserve">Add-on purchase prices (debt-funded)</t>
  </si>
  <si>
    <t xml:space="preserve">Earn-out paid</t>
  </si>
  <si>
    <t xml:space="preserve">Cumulative free cash flow (debt paydown)</t>
  </si>
  <si>
    <t xml:space="preserve">Transaction and financing fees</t>
  </si>
  <si>
    <t xml:space="preserve">Check: bridge vs. returns (should be 0)</t>
  </si>
  <si>
    <t xml:space="preserve">Memo and checks</t>
  </si>
  <si>
    <t xml:space="preserve">Earn-out payable (on organic EBITDA in the measurement year)</t>
  </si>
  <si>
    <t xml:space="preserve">Linear between the floor and the cap set on Inputs C24–C25</t>
  </si>
  <si>
    <t xml:space="preserve">Check: closing cash ≥ minimum cash every year (1 = OK)</t>
  </si>
  <si>
    <t xml:space="preserve">Check: add-ons fully funded by the CAF (1 = OK)</t>
  </si>
  <si>
    <t xml:space="preserve">Check: RCF within commitment (1 = OK)</t>
  </si>
  <si>
    <t xml:space="preserve">Project Lumière – LBO model: Management case</t>
  </si>
  <si>
    <t xml:space="preserve">Project Lumière – LBO model: Downside case</t>
  </si>
  <si>
    <t xml:space="preserve">Project Lumière – returns summary and sensitivities</t>
  </si>
  <si>
    <t xml:space="preserve">Investor returns = gross to the equity strip, after the management MIP, before fund fees and carry. €m unless stated.</t>
  </si>
  <si>
    <t xml:space="preserve">1. Returns by case (exit at the end of FY2031)</t>
  </si>
  <si>
    <t xml:space="preserve">FY2031 revenue</t>
  </si>
  <si>
    <t xml:space="preserve">FY2031 EBITDA</t>
  </si>
  <si>
    <t xml:space="preserve">FY2031 EBITDA margin</t>
  </si>
  <si>
    <t xml:space="preserve">EBITDA CAGR FY2026E–FY2031 (incl. add-ons)</t>
  </si>
  <si>
    <t xml:space="preserve">Earn-out paid to vendor</t>
  </si>
  <si>
    <t xml:space="preserve">Add-ons acquired (price incl. costs)</t>
  </si>
  <si>
    <t xml:space="preserve">Peak net leverage, FY2027–FY2031</t>
  </si>
  <si>
    <t xml:space="preserve">Lowest EBITDA / net interest</t>
  </si>
  <si>
    <t xml:space="preserve">Lowest covenant headroom</t>
  </si>
  <si>
    <t xml:space="preserve">ARCHIMED equity invested</t>
  </si>
  <si>
    <t xml:space="preserve">ARCHIMED exit proceeds</t>
  </si>
  <si>
    <t xml:space="preserve">ARCHIMED capital gain</t>
  </si>
  <si>
    <t xml:space="preserve">2. Equity value bridge – Base case</t>
  </si>
  <si>
    <t xml:space="preserve">Step</t>
  </si>
  <si>
    <t xml:space="preserve">% of gain</t>
  </si>
  <si>
    <t xml:space="preserve">Exit vs. entry multiple</t>
  </si>
  <si>
    <t xml:space="preserve">3. Bid ladder – returns by entry price (each case at its own exit multiple)</t>
  </si>
  <si>
    <t xml:space="preserve">Price point (€m)</t>
  </si>
  <si>
    <t xml:space="preserve">Entry EV</t>
  </si>
  <si>
    <t xml:space="preserve">x UW EBITDA</t>
  </si>
  <si>
    <t xml:space="preserve">x vendor EBITDA</t>
  </si>
  <si>
    <t xml:space="preserve">Equity in</t>
  </si>
  <si>
    <t xml:space="preserve">Base IRR</t>
  </si>
  <si>
    <t xml:space="preserve">Base MOIC</t>
  </si>
  <si>
    <t xml:space="preserve">Mgmt IRR</t>
  </si>
  <si>
    <t xml:space="preserve">Mgmt MOIC</t>
  </si>
  <si>
    <t xml:space="preserve">Down IRR</t>
  </si>
  <si>
    <t xml:space="preserve">Down MOIC</t>
  </si>
  <si>
    <t xml:space="preserve">Recommended upfront price</t>
  </si>
  <si>
    <t xml:space="preserve">Walk-away upfront price</t>
  </si>
  <si>
    <t xml:space="preserve">Headline incl. earn-out, if paid upfront</t>
  </si>
  <si>
    <t xml:space="preserve">Vendor expectation</t>
  </si>
  <si>
    <t xml:space="preserve">Check: ladder formula at the model entry EV equals model IRR (should be 0)</t>
  </si>
  <si>
    <t xml:space="preserve">Each case’s exit equity and net debt do not depend on the entry price (debt is sized on EBITDA), so the ladder is exact. Management case figures include the earn-out (Inputs C21).</t>
  </si>
  <si>
    <t xml:space="preserve">4. Base case IRR – entry multiple (rows) × exit multiple (columns)</t>
  </si>
  <si>
    <t xml:space="preserve">5. Base case MOIC – entry multiple (rows) × exit multiple (columns)</t>
  </si>
  <si>
    <t xml:space="preserve">6. Base case IRR – exit year (rows) × exit multiple (columns), at the model entry price</t>
  </si>
  <si>
    <t xml:space="preserve">Exit at the end of</t>
  </si>
  <si>
    <t xml:space="preserve">Years held</t>
  </si>
  <si>
    <t xml:space="preserve">7. Model checks</t>
  </si>
  <si>
    <t xml:space="preserve">Sources equal uses</t>
  </si>
  <si>
    <t xml:space="preserve">Equity bridges reconcile (all cases)</t>
  </si>
  <si>
    <t xml:space="preserve">Net debt roll-forwards reconcile (all cases)</t>
  </si>
  <si>
    <t xml:space="preserve">Cash never below minimum (all cases)</t>
  </si>
  <si>
    <t xml:space="preserve">Add-ons fully funded by the CAF (all cases)</t>
  </si>
  <si>
    <t xml:space="preserve">RCF within commitment (all cases)</t>
  </si>
  <si>
    <t xml:space="preserve">IRR formula consistent with MOIC (all cases)</t>
  </si>
  <si>
    <t xml:space="preserve">Bid ladder consistent with model</t>
  </si>
  <si>
    <t xml:space="preserve">All checks OK (1 = yes)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</si>
</sst>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_);\(#,##0.0\);\-_)"/>
    <numFmt numFmtId="166" formatCode="0.0\x_);\(0.0&quot;x)&quot;;\-_)"/>
    <numFmt numFmtId="167" formatCode="0.0%_);\(0.0%\);\-_)"/>
    <numFmt numFmtId="168" formatCode="0.00\x_);\(0.00&quot;x)&quot;;\-_)"/>
    <numFmt numFmtId="169" formatCode="#,##0_);\(#,##0\);\-_)"/>
    <numFmt numFmtId="170" formatCode="0"/>
    <numFmt numFmtId="171" formatCode="0.00%_);\(0.00%\);\-_)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4"/>
    <col collapsed="false" customWidth="true" hidden="false" outlineLevel="0" max="5" min="3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5" t="s">
        <v>7</v>
      </c>
    </row>
    <row r="11" customFormat="false" ht="15" hidden="false" customHeight="false" outlineLevel="0" collapsed="false">
      <c r="A11" s="3" t="s">
        <v>8</v>
      </c>
      <c r="B11" s="4"/>
      <c r="C11" s="4"/>
      <c r="D11" s="4"/>
      <c r="E11" s="4"/>
    </row>
    <row r="12" customFormat="false" ht="15" hidden="false" customHeight="false" outlineLevel="0" collapsed="false">
      <c r="A12" s="6" t="s">
        <v>9</v>
      </c>
      <c r="B12" s="6" t="s">
        <v>10</v>
      </c>
    </row>
    <row r="13" customFormat="false" ht="15" hidden="false" customHeight="false" outlineLevel="0" collapsed="false">
      <c r="A13" s="1" t="s">
        <v>11</v>
      </c>
      <c r="B13" s="5" t="s">
        <v>12</v>
      </c>
    </row>
    <row r="14" customFormat="false" ht="15" hidden="false" customHeight="false" outlineLevel="0" collapsed="false">
      <c r="A14" s="1" t="s">
        <v>13</v>
      </c>
      <c r="B14" s="5" t="s">
        <v>14</v>
      </c>
    </row>
    <row r="15" customFormat="false" ht="15" hidden="false" customHeight="false" outlineLevel="0" collapsed="false">
      <c r="A15" s="1" t="s">
        <v>15</v>
      </c>
      <c r="B15" s="5" t="s">
        <v>16</v>
      </c>
    </row>
    <row r="16" customFormat="false" ht="15" hidden="false" customHeight="false" outlineLevel="0" collapsed="false">
      <c r="A16" s="1" t="s">
        <v>17</v>
      </c>
      <c r="B16" s="5" t="s">
        <v>18</v>
      </c>
    </row>
    <row r="17" customFormat="false" ht="15" hidden="false" customHeight="false" outlineLevel="0" collapsed="false">
      <c r="A17" s="1" t="s">
        <v>19</v>
      </c>
      <c r="B17" s="5" t="s">
        <v>20</v>
      </c>
    </row>
    <row r="19" customFormat="false" ht="15" hidden="false" customHeight="false" outlineLevel="0" collapsed="false">
      <c r="A19" s="3" t="s">
        <v>21</v>
      </c>
      <c r="B19" s="4"/>
      <c r="C19" s="4"/>
      <c r="D19" s="4"/>
      <c r="E19" s="4"/>
    </row>
    <row r="20" customFormat="false" ht="15" hidden="false" customHeight="false" outlineLevel="0" collapsed="false">
      <c r="A20" s="6" t="s">
        <v>22</v>
      </c>
      <c r="B20" s="7"/>
      <c r="C20" s="8" t="s">
        <v>23</v>
      </c>
      <c r="D20" s="8" t="s">
        <v>24</v>
      </c>
      <c r="E20" s="8" t="s">
        <v>25</v>
      </c>
    </row>
    <row r="21" customFormat="false" ht="15" hidden="false" customHeight="false" outlineLevel="0" collapsed="false">
      <c r="A21" s="5" t="s">
        <v>26</v>
      </c>
      <c r="C21" s="9" t="n">
        <f aca="false">Inputs!C10</f>
        <v>540</v>
      </c>
    </row>
    <row r="22" customFormat="false" ht="15" hidden="false" customHeight="false" outlineLevel="0" collapsed="false">
      <c r="A22" s="5" t="s">
        <v>27</v>
      </c>
      <c r="C22" s="10" t="n">
        <f aca="false">Inputs!C9</f>
        <v>13.5</v>
      </c>
    </row>
    <row r="23" customFormat="false" ht="15" hidden="false" customHeight="false" outlineLevel="0" collapsed="false">
      <c r="A23" s="5" t="s">
        <v>28</v>
      </c>
      <c r="C23" s="10" t="n">
        <f aca="false">Inputs!C11</f>
        <v>12.4137931034483</v>
      </c>
    </row>
    <row r="24" customFormat="false" ht="15" hidden="false" customHeight="false" outlineLevel="0" collapsed="false">
      <c r="A24" s="5" t="s">
        <v>29</v>
      </c>
      <c r="C24" s="9" t="n">
        <f aca="false">Transaction!C20</f>
        <v>328.2</v>
      </c>
    </row>
    <row r="25" customFormat="false" ht="15" hidden="false" customHeight="false" outlineLevel="0" collapsed="false">
      <c r="A25" s="5" t="s">
        <v>30</v>
      </c>
      <c r="C25" s="9" t="n">
        <f aca="false">Transaction!C15</f>
        <v>282.2</v>
      </c>
    </row>
    <row r="26" customFormat="false" ht="15" hidden="false" customHeight="false" outlineLevel="0" collapsed="false">
      <c r="A26" s="1" t="s">
        <v>31</v>
      </c>
      <c r="C26" s="11" t="n">
        <f aca="false">Returns!C18</f>
        <v>0.199853794058016</v>
      </c>
      <c r="D26" s="11" t="n">
        <f aca="false">Returns!D18</f>
        <v>0.239808950490019</v>
      </c>
      <c r="E26" s="11" t="n">
        <f aca="false">Returns!E18</f>
        <v>0.0333505635076053</v>
      </c>
    </row>
    <row r="27" customFormat="false" ht="15" hidden="false" customHeight="false" outlineLevel="0" collapsed="false">
      <c r="A27" s="1" t="s">
        <v>32</v>
      </c>
      <c r="C27" s="12" t="n">
        <f aca="false">Returns!C17</f>
        <v>2.48680450612886</v>
      </c>
      <c r="D27" s="12" t="n">
        <f aca="false">Returns!D17</f>
        <v>2.92936734880723</v>
      </c>
      <c r="E27" s="12" t="n">
        <f aca="false">Returns!E17</f>
        <v>1.17825259027845</v>
      </c>
    </row>
    <row r="28" customFormat="false" ht="15" hidden="false" customHeight="false" outlineLevel="0" collapsed="false">
      <c r="A28" s="5" t="s">
        <v>33</v>
      </c>
      <c r="C28" s="13" t="n">
        <f aca="false">Returns!C87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8" min="7" style="0" width="11"/>
    <col collapsed="false" customWidth="true" hidden="false" outlineLevel="0" max="9" min="9" style="0" width="74"/>
  </cols>
  <sheetData>
    <row r="1" customFormat="false" ht="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36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5" t="s">
        <v>37</v>
      </c>
      <c r="B5" s="14" t="s">
        <v>38</v>
      </c>
      <c r="C5" s="9" t="n">
        <f aca="false">Case_Data!G9</f>
        <v>150</v>
      </c>
      <c r="I5" s="15" t="s">
        <v>13</v>
      </c>
    </row>
    <row r="6" customFormat="false" ht="15" hidden="false" customHeight="false" outlineLevel="0" collapsed="false">
      <c r="A6" s="5" t="s">
        <v>39</v>
      </c>
      <c r="B6" s="14" t="s">
        <v>38</v>
      </c>
      <c r="C6" s="9" t="n">
        <f aca="false">Case_Data!G16</f>
        <v>41.9</v>
      </c>
      <c r="I6" s="15" t="s">
        <v>13</v>
      </c>
    </row>
    <row r="7" customFormat="false" ht="15" hidden="false" customHeight="false" outlineLevel="0" collapsed="false">
      <c r="A7" s="5" t="s">
        <v>40</v>
      </c>
      <c r="B7" s="14" t="s">
        <v>38</v>
      </c>
      <c r="C7" s="9" t="n">
        <f aca="false">Case_Data!G23</f>
        <v>43.5</v>
      </c>
      <c r="I7" s="15" t="s">
        <v>41</v>
      </c>
    </row>
    <row r="8" customFormat="false" ht="15" hidden="false" customHeight="false" outlineLevel="0" collapsed="false">
      <c r="A8" s="5" t="s">
        <v>42</v>
      </c>
      <c r="B8" s="14" t="s">
        <v>38</v>
      </c>
      <c r="C8" s="9" t="n">
        <f aca="false">Case_Data!G28</f>
        <v>40</v>
      </c>
      <c r="I8" s="15" t="s">
        <v>43</v>
      </c>
    </row>
    <row r="9" customFormat="false" ht="15" hidden="false" customHeight="false" outlineLevel="0" collapsed="false">
      <c r="A9" s="5" t="s">
        <v>27</v>
      </c>
      <c r="B9" s="14" t="s">
        <v>44</v>
      </c>
      <c r="C9" s="16" t="n">
        <v>13.5</v>
      </c>
      <c r="I9" s="15" t="s">
        <v>45</v>
      </c>
    </row>
    <row r="10" customFormat="false" ht="15" hidden="false" customHeight="false" outlineLevel="0" collapsed="false">
      <c r="A10" s="5" t="s">
        <v>46</v>
      </c>
      <c r="B10" s="14" t="s">
        <v>38</v>
      </c>
      <c r="C10" s="17" t="n">
        <f aca="false">C9*C8</f>
        <v>540</v>
      </c>
    </row>
    <row r="11" customFormat="false" ht="15" hidden="false" customHeight="false" outlineLevel="0" collapsed="false">
      <c r="A11" s="5" t="s">
        <v>47</v>
      </c>
      <c r="B11" s="14" t="s">
        <v>44</v>
      </c>
      <c r="C11" s="18" t="n">
        <f aca="false">C10/C7</f>
        <v>12.4137931034483</v>
      </c>
    </row>
    <row r="12" customFormat="false" ht="15" hidden="false" customHeight="false" outlineLevel="0" collapsed="false">
      <c r="A12" s="5" t="s">
        <v>48</v>
      </c>
      <c r="B12" s="14" t="s">
        <v>44</v>
      </c>
      <c r="C12" s="18" t="n">
        <f aca="false">C10/C5</f>
        <v>3.6</v>
      </c>
    </row>
    <row r="13" customFormat="false" ht="15" hidden="false" customHeight="false" outlineLevel="0" collapsed="false">
      <c r="A13" s="5" t="s">
        <v>49</v>
      </c>
      <c r="B13" s="14" t="s">
        <v>38</v>
      </c>
      <c r="C13" s="19" t="n">
        <v>600</v>
      </c>
      <c r="I13" s="15" t="s">
        <v>50</v>
      </c>
    </row>
    <row r="14" customFormat="false" ht="15" hidden="false" customHeight="false" outlineLevel="0" collapsed="false">
      <c r="A14" s="5" t="s">
        <v>51</v>
      </c>
      <c r="B14" s="14" t="s">
        <v>44</v>
      </c>
      <c r="C14" s="18" t="n">
        <f aca="false">C13/C8</f>
        <v>15</v>
      </c>
    </row>
    <row r="15" customFormat="false" ht="15" hidden="false" customHeight="false" outlineLevel="0" collapsed="false">
      <c r="A15" s="5" t="s">
        <v>52</v>
      </c>
      <c r="B15" s="14" t="s">
        <v>44</v>
      </c>
      <c r="C15" s="18" t="n">
        <f aca="false">C13/C7</f>
        <v>13.7931034482759</v>
      </c>
    </row>
    <row r="16" customFormat="false" ht="15" hidden="false" customHeight="false" outlineLevel="0" collapsed="false">
      <c r="A16" s="5" t="s">
        <v>53</v>
      </c>
      <c r="B16" s="14" t="s">
        <v>54</v>
      </c>
      <c r="C16" s="20" t="n">
        <v>0.02</v>
      </c>
      <c r="I16" s="15" t="s">
        <v>55</v>
      </c>
    </row>
    <row r="17" customFormat="false" ht="15" hidden="false" customHeight="false" outlineLevel="0" collapsed="false">
      <c r="A17" s="5" t="s">
        <v>56</v>
      </c>
      <c r="B17" s="14" t="s">
        <v>38</v>
      </c>
      <c r="C17" s="19" t="n">
        <v>10</v>
      </c>
      <c r="I17" s="15" t="s">
        <v>57</v>
      </c>
    </row>
    <row r="18" customFormat="false" ht="15" hidden="false" customHeight="false" outlineLevel="0" collapsed="false">
      <c r="A18" s="5" t="s">
        <v>58</v>
      </c>
      <c r="B18" s="14" t="s">
        <v>38</v>
      </c>
      <c r="C18" s="19" t="n">
        <v>40</v>
      </c>
      <c r="I18" s="15" t="s">
        <v>59</v>
      </c>
    </row>
    <row r="19" customFormat="false" ht="15" hidden="false" customHeight="false" outlineLevel="0" collapsed="false">
      <c r="A19" s="5" t="s">
        <v>60</v>
      </c>
      <c r="B19" s="14" t="s">
        <v>38</v>
      </c>
      <c r="C19" s="19" t="n">
        <v>6</v>
      </c>
      <c r="I19" s="15" t="s">
        <v>61</v>
      </c>
    </row>
    <row r="20" customFormat="false" ht="15" hidden="false" customHeight="false" outlineLevel="0" collapsed="false">
      <c r="A20" s="5" t="s">
        <v>62</v>
      </c>
      <c r="B20" s="14" t="s">
        <v>54</v>
      </c>
      <c r="C20" s="20" t="n">
        <v>0.1</v>
      </c>
      <c r="I20" s="15" t="s">
        <v>63</v>
      </c>
    </row>
    <row r="21" customFormat="false" ht="15" hidden="false" customHeight="false" outlineLevel="0" collapsed="false">
      <c r="A21" s="5" t="s">
        <v>64</v>
      </c>
      <c r="B21" s="14" t="s">
        <v>38</v>
      </c>
      <c r="C21" s="21" t="n">
        <v>40</v>
      </c>
      <c r="I21" s="15" t="s">
        <v>65</v>
      </c>
    </row>
    <row r="22" customFormat="false" ht="15" hidden="false" customHeight="false" outlineLevel="0" collapsed="false">
      <c r="A22" s="5" t="s">
        <v>66</v>
      </c>
      <c r="B22" s="14" t="s">
        <v>67</v>
      </c>
      <c r="C22" s="22" t="n">
        <v>2028</v>
      </c>
      <c r="I22" s="15" t="s">
        <v>68</v>
      </c>
    </row>
    <row r="23" customFormat="false" ht="15" hidden="false" customHeight="false" outlineLevel="0" collapsed="false">
      <c r="A23" s="5" t="s">
        <v>69</v>
      </c>
      <c r="B23" s="14" t="s">
        <v>67</v>
      </c>
      <c r="C23" s="22" t="n">
        <v>2029</v>
      </c>
      <c r="I23" s="15" t="s">
        <v>68</v>
      </c>
    </row>
    <row r="24" customFormat="false" ht="15" hidden="false" customHeight="false" outlineLevel="0" collapsed="false">
      <c r="A24" s="5" t="s">
        <v>70</v>
      </c>
      <c r="B24" s="14" t="s">
        <v>38</v>
      </c>
      <c r="C24" s="19" t="n">
        <v>50</v>
      </c>
      <c r="I24" s="15" t="s">
        <v>71</v>
      </c>
    </row>
    <row r="25" customFormat="false" ht="15" hidden="false" customHeight="false" outlineLevel="0" collapsed="false">
      <c r="A25" s="5" t="s">
        <v>72</v>
      </c>
      <c r="B25" s="14" t="s">
        <v>38</v>
      </c>
      <c r="C25" s="19" t="n">
        <v>53.5</v>
      </c>
      <c r="I25" s="15" t="s">
        <v>73</v>
      </c>
    </row>
    <row r="27" customFormat="false" ht="15" hidden="false" customHeight="false" outlineLevel="0" collapsed="false">
      <c r="A27" s="3" t="s">
        <v>74</v>
      </c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5" t="s">
        <v>75</v>
      </c>
      <c r="B28" s="14" t="s">
        <v>44</v>
      </c>
      <c r="C28" s="23" t="n">
        <v>6</v>
      </c>
      <c r="I28" s="15" t="s">
        <v>76</v>
      </c>
    </row>
    <row r="29" customFormat="false" ht="15" hidden="false" customHeight="false" outlineLevel="0" collapsed="false">
      <c r="A29" s="5" t="s">
        <v>77</v>
      </c>
      <c r="B29" s="14" t="s">
        <v>38</v>
      </c>
      <c r="C29" s="17" t="n">
        <f aca="false">C28*C8</f>
        <v>240</v>
      </c>
    </row>
    <row r="30" customFormat="false" ht="15" hidden="false" customHeight="false" outlineLevel="0" collapsed="false">
      <c r="A30" s="5" t="s">
        <v>78</v>
      </c>
      <c r="B30" s="14" t="s">
        <v>54</v>
      </c>
      <c r="C30" s="20" t="n">
        <v>0.025</v>
      </c>
      <c r="I30" s="15" t="s">
        <v>57</v>
      </c>
    </row>
    <row r="31" customFormat="false" ht="15" hidden="false" customHeight="false" outlineLevel="0" collapsed="false">
      <c r="A31" s="5" t="s">
        <v>79</v>
      </c>
      <c r="B31" s="14" t="s">
        <v>38</v>
      </c>
      <c r="C31" s="19" t="n">
        <v>110</v>
      </c>
      <c r="I31" s="15" t="s">
        <v>57</v>
      </c>
    </row>
    <row r="32" customFormat="false" ht="15" hidden="false" customHeight="false" outlineLevel="0" collapsed="false">
      <c r="A32" s="5" t="s">
        <v>80</v>
      </c>
      <c r="B32" s="14" t="s">
        <v>38</v>
      </c>
      <c r="C32" s="19" t="n">
        <v>30</v>
      </c>
      <c r="I32" s="15" t="s">
        <v>57</v>
      </c>
    </row>
    <row r="33" customFormat="false" ht="15" hidden="false" customHeight="false" outlineLevel="0" collapsed="false">
      <c r="A33" s="5" t="s">
        <v>81</v>
      </c>
      <c r="B33" s="14" t="s">
        <v>54</v>
      </c>
      <c r="C33" s="20" t="n">
        <v>0.01</v>
      </c>
      <c r="I33" s="15" t="s">
        <v>57</v>
      </c>
    </row>
    <row r="34" customFormat="false" ht="15" hidden="false" customHeight="false" outlineLevel="0" collapsed="false">
      <c r="A34" s="5" t="s">
        <v>82</v>
      </c>
      <c r="B34" s="14" t="s">
        <v>54</v>
      </c>
      <c r="C34" s="24" t="n">
        <v>0.02</v>
      </c>
      <c r="I34" s="15" t="s">
        <v>83</v>
      </c>
    </row>
    <row r="35" customFormat="false" ht="15" hidden="false" customHeight="false" outlineLevel="0" collapsed="false">
      <c r="A35" s="5" t="s">
        <v>84</v>
      </c>
      <c r="B35" s="14" t="s">
        <v>54</v>
      </c>
      <c r="C35" s="24" t="n">
        <v>0.0475</v>
      </c>
      <c r="I35" s="15" t="s">
        <v>57</v>
      </c>
    </row>
    <row r="36" customFormat="false" ht="15" hidden="false" customHeight="false" outlineLevel="0" collapsed="false">
      <c r="A36" s="5" t="s">
        <v>85</v>
      </c>
      <c r="B36" s="14" t="s">
        <v>54</v>
      </c>
      <c r="C36" s="24" t="n">
        <v>0.0475</v>
      </c>
      <c r="I36" s="15" t="s">
        <v>57</v>
      </c>
    </row>
    <row r="37" customFormat="false" ht="15" hidden="false" customHeight="false" outlineLevel="0" collapsed="false">
      <c r="A37" s="5" t="s">
        <v>86</v>
      </c>
      <c r="B37" s="14" t="s">
        <v>54</v>
      </c>
      <c r="C37" s="24" t="n">
        <v>0.04</v>
      </c>
      <c r="I37" s="15" t="s">
        <v>57</v>
      </c>
    </row>
    <row r="38" customFormat="false" ht="15" hidden="false" customHeight="false" outlineLevel="0" collapsed="false">
      <c r="A38" s="5" t="s">
        <v>87</v>
      </c>
      <c r="B38" s="14" t="s">
        <v>54</v>
      </c>
      <c r="C38" s="20" t="n">
        <v>0.35</v>
      </c>
      <c r="I38" s="15" t="s">
        <v>57</v>
      </c>
    </row>
    <row r="39" customFormat="false" ht="15" hidden="false" customHeight="false" outlineLevel="0" collapsed="false">
      <c r="A39" s="5" t="s">
        <v>88</v>
      </c>
      <c r="B39" s="14" t="s">
        <v>54</v>
      </c>
      <c r="C39" s="24" t="n">
        <v>0.015</v>
      </c>
      <c r="I39" s="15" t="s">
        <v>89</v>
      </c>
    </row>
    <row r="40" customFormat="false" ht="15" hidden="false" customHeight="false" outlineLevel="0" collapsed="false">
      <c r="A40" s="5" t="s">
        <v>90</v>
      </c>
      <c r="B40" s="14" t="s">
        <v>54</v>
      </c>
      <c r="C40" s="20" t="n">
        <v>1</v>
      </c>
      <c r="I40" s="15" t="s">
        <v>91</v>
      </c>
    </row>
    <row r="41" customFormat="false" ht="15" hidden="false" customHeight="false" outlineLevel="0" collapsed="false">
      <c r="A41" s="5" t="s">
        <v>92</v>
      </c>
      <c r="B41" s="14" t="s">
        <v>44</v>
      </c>
      <c r="C41" s="25" t="n">
        <v>8.25</v>
      </c>
      <c r="I41" s="15" t="s">
        <v>93</v>
      </c>
    </row>
    <row r="43" customFormat="false" ht="15" hidden="false" customHeight="false" outlineLevel="0" collapsed="false">
      <c r="A43" s="3" t="s">
        <v>94</v>
      </c>
      <c r="B43" s="4"/>
      <c r="C43" s="4"/>
      <c r="D43" s="4"/>
      <c r="E43" s="4"/>
      <c r="F43" s="4"/>
      <c r="G43" s="4"/>
      <c r="H43" s="4"/>
      <c r="I43" s="4"/>
    </row>
    <row r="44" customFormat="false" ht="15" hidden="false" customHeight="false" outlineLevel="0" collapsed="false">
      <c r="A44" s="6" t="s">
        <v>89</v>
      </c>
      <c r="B44" s="6" t="s">
        <v>95</v>
      </c>
      <c r="C44" s="7"/>
      <c r="D44" s="8" t="s">
        <v>96</v>
      </c>
      <c r="E44" s="8" t="s">
        <v>97</v>
      </c>
      <c r="F44" s="8" t="s">
        <v>98</v>
      </c>
      <c r="G44" s="8" t="s">
        <v>99</v>
      </c>
      <c r="H44" s="8" t="s">
        <v>100</v>
      </c>
      <c r="I44" s="6" t="s">
        <v>101</v>
      </c>
    </row>
    <row r="45" customFormat="false" ht="15" hidden="false" customHeight="false" outlineLevel="0" collapsed="false">
      <c r="A45" s="5" t="s">
        <v>102</v>
      </c>
      <c r="B45" s="14" t="s">
        <v>54</v>
      </c>
      <c r="D45" s="26" t="n">
        <v>0.075</v>
      </c>
      <c r="E45" s="26" t="n">
        <v>0.08</v>
      </c>
      <c r="F45" s="26" t="n">
        <v>0.085</v>
      </c>
      <c r="G45" s="26" t="n">
        <v>0.085</v>
      </c>
      <c r="H45" s="26" t="n">
        <v>0.08</v>
      </c>
      <c r="I45" s="15" t="s">
        <v>103</v>
      </c>
    </row>
    <row r="46" customFormat="false" ht="15" hidden="false" customHeight="false" outlineLevel="0" collapsed="false">
      <c r="A46" s="5" t="s">
        <v>104</v>
      </c>
      <c r="B46" s="14" t="s">
        <v>54</v>
      </c>
      <c r="D46" s="27" t="n">
        <f aca="false">Case_Data!C42</f>
        <v>0.1</v>
      </c>
      <c r="E46" s="27" t="n">
        <f aca="false">Case_Data!D42</f>
        <v>0.11</v>
      </c>
      <c r="F46" s="27" t="n">
        <f aca="false">Case_Data!E42</f>
        <v>0.115</v>
      </c>
      <c r="G46" s="27" t="n">
        <f aca="false">Case_Data!F42</f>
        <v>0.115</v>
      </c>
      <c r="H46" s="27" t="n">
        <f aca="false">Case_Data!G42</f>
        <v>0.11</v>
      </c>
      <c r="I46" s="15" t="s">
        <v>105</v>
      </c>
    </row>
    <row r="47" customFormat="false" ht="15" hidden="false" customHeight="false" outlineLevel="0" collapsed="false">
      <c r="A47" s="5" t="s">
        <v>106</v>
      </c>
      <c r="B47" s="14" t="s">
        <v>54</v>
      </c>
      <c r="D47" s="26" t="n">
        <v>0.04</v>
      </c>
      <c r="E47" s="26" t="n">
        <v>0.04</v>
      </c>
      <c r="F47" s="26" t="n">
        <v>0.045</v>
      </c>
      <c r="G47" s="26" t="n">
        <v>0.045</v>
      </c>
      <c r="H47" s="26" t="n">
        <v>0.045</v>
      </c>
      <c r="I47" s="15" t="s">
        <v>107</v>
      </c>
    </row>
    <row r="48" customFormat="false" ht="15" hidden="false" customHeight="false" outlineLevel="0" collapsed="false">
      <c r="A48" s="5" t="s">
        <v>108</v>
      </c>
      <c r="B48" s="14" t="s">
        <v>54</v>
      </c>
      <c r="D48" s="26" t="n">
        <v>0.275</v>
      </c>
      <c r="E48" s="26" t="n">
        <v>0.284</v>
      </c>
      <c r="F48" s="26" t="n">
        <v>0.293</v>
      </c>
      <c r="G48" s="26" t="n">
        <v>0.301</v>
      </c>
      <c r="H48" s="26" t="n">
        <v>0.308</v>
      </c>
      <c r="I48" s="15" t="s">
        <v>109</v>
      </c>
    </row>
    <row r="49" customFormat="false" ht="15" hidden="false" customHeight="false" outlineLevel="0" collapsed="false">
      <c r="A49" s="5" t="s">
        <v>110</v>
      </c>
      <c r="B49" s="14" t="s">
        <v>54</v>
      </c>
      <c r="D49" s="28" t="n">
        <f aca="false">Case_Data!C44-$C$51</f>
        <v>0.279666666666667</v>
      </c>
      <c r="E49" s="28" t="n">
        <f aca="false">Case_Data!D44-$C$51</f>
        <v>0.294666666666667</v>
      </c>
      <c r="F49" s="28" t="n">
        <f aca="false">Case_Data!E44-$C$51</f>
        <v>0.309666666666667</v>
      </c>
      <c r="G49" s="28" t="n">
        <f aca="false">Case_Data!F44-$C$51</f>
        <v>0.319666666666667</v>
      </c>
      <c r="H49" s="28" t="n">
        <f aca="false">Case_Data!G44-$C$51</f>
        <v>0.324666666666667</v>
      </c>
      <c r="I49" s="15" t="s">
        <v>111</v>
      </c>
    </row>
    <row r="50" customFormat="false" ht="15" hidden="false" customHeight="false" outlineLevel="0" collapsed="false">
      <c r="A50" s="5" t="s">
        <v>112</v>
      </c>
      <c r="B50" s="14" t="s">
        <v>54</v>
      </c>
      <c r="D50" s="26" t="n">
        <v>0.265</v>
      </c>
      <c r="E50" s="26" t="n">
        <v>0.265</v>
      </c>
      <c r="F50" s="26" t="n">
        <v>0.265</v>
      </c>
      <c r="G50" s="26" t="n">
        <v>0.265</v>
      </c>
      <c r="H50" s="26" t="n">
        <v>0.265</v>
      </c>
      <c r="I50" s="15" t="s">
        <v>113</v>
      </c>
    </row>
    <row r="51" customFormat="false" ht="15" hidden="false" customHeight="false" outlineLevel="0" collapsed="false">
      <c r="A51" s="5" t="s">
        <v>114</v>
      </c>
      <c r="B51" s="14" t="s">
        <v>54</v>
      </c>
      <c r="C51" s="29" t="n">
        <f aca="false">(C7-C8)/C5</f>
        <v>0.0233333333333333</v>
      </c>
      <c r="I51" s="15" t="s">
        <v>115</v>
      </c>
    </row>
    <row r="52" customFormat="false" ht="15" hidden="false" customHeight="false" outlineLevel="0" collapsed="false">
      <c r="A52" s="5" t="s">
        <v>116</v>
      </c>
      <c r="B52" s="14" t="s">
        <v>54</v>
      </c>
      <c r="C52" s="26" t="n">
        <v>0</v>
      </c>
      <c r="I52" s="15" t="s">
        <v>117</v>
      </c>
    </row>
    <row r="53" customFormat="false" ht="15" hidden="false" customHeight="false" outlineLevel="0" collapsed="false">
      <c r="A53" s="5" t="s">
        <v>118</v>
      </c>
      <c r="B53" s="14" t="s">
        <v>54</v>
      </c>
      <c r="C53" s="26" t="n">
        <v>0</v>
      </c>
      <c r="I53" s="15" t="s">
        <v>117</v>
      </c>
    </row>
    <row r="55" customFormat="false" ht="15" hidden="false" customHeight="false" outlineLevel="0" collapsed="false">
      <c r="A55" s="3" t="s">
        <v>119</v>
      </c>
      <c r="B55" s="4"/>
      <c r="C55" s="4"/>
      <c r="D55" s="4"/>
      <c r="E55" s="4"/>
      <c r="F55" s="4"/>
      <c r="G55" s="4"/>
      <c r="H55" s="4"/>
      <c r="I55" s="4"/>
    </row>
    <row r="56" customFormat="false" ht="15" hidden="false" customHeight="false" outlineLevel="0" collapsed="false">
      <c r="A56" s="6" t="s">
        <v>120</v>
      </c>
      <c r="B56" s="6" t="s">
        <v>95</v>
      </c>
      <c r="C56" s="7"/>
      <c r="D56" s="8" t="s">
        <v>23</v>
      </c>
      <c r="E56" s="8" t="s">
        <v>24</v>
      </c>
      <c r="F56" s="8" t="s">
        <v>25</v>
      </c>
    </row>
    <row r="57" customFormat="false" ht="15" hidden="false" customHeight="false" outlineLevel="0" collapsed="false">
      <c r="A57" s="5" t="s">
        <v>121</v>
      </c>
      <c r="B57" s="14" t="s">
        <v>122</v>
      </c>
      <c r="D57" s="30" t="n">
        <v>1</v>
      </c>
      <c r="E57" s="30" t="n">
        <v>1</v>
      </c>
      <c r="F57" s="30" t="n">
        <v>0</v>
      </c>
      <c r="I57" s="15" t="s">
        <v>123</v>
      </c>
    </row>
    <row r="58" customFormat="false" ht="15" hidden="false" customHeight="false" outlineLevel="0" collapsed="false">
      <c r="A58" s="5" t="s">
        <v>124</v>
      </c>
      <c r="B58" s="14" t="s">
        <v>122</v>
      </c>
      <c r="D58" s="30" t="n">
        <v>1</v>
      </c>
      <c r="E58" s="30" t="n">
        <v>1</v>
      </c>
      <c r="F58" s="30" t="n">
        <v>0</v>
      </c>
    </row>
    <row r="59" customFormat="false" ht="15" hidden="false" customHeight="false" outlineLevel="0" collapsed="false">
      <c r="A59" s="5" t="s">
        <v>125</v>
      </c>
      <c r="B59" s="14" t="s">
        <v>44</v>
      </c>
      <c r="D59" s="23" t="n">
        <v>13.5</v>
      </c>
      <c r="E59" s="23" t="n">
        <v>13.5</v>
      </c>
      <c r="F59" s="23" t="n">
        <v>12</v>
      </c>
      <c r="I59" s="15" t="s">
        <v>126</v>
      </c>
    </row>
    <row r="61" customFormat="false" ht="15" hidden="false" customHeight="false" outlineLevel="0" collapsed="false">
      <c r="A61" s="3" t="s">
        <v>127</v>
      </c>
      <c r="B61" s="4"/>
      <c r="C61" s="4"/>
      <c r="D61" s="4"/>
      <c r="E61" s="4"/>
      <c r="F61" s="4"/>
      <c r="G61" s="4"/>
      <c r="H61" s="4"/>
      <c r="I61" s="4"/>
    </row>
    <row r="62" customFormat="false" ht="15" hidden="false" customHeight="false" outlineLevel="0" collapsed="false">
      <c r="A62" s="5" t="s">
        <v>128</v>
      </c>
      <c r="B62" s="14" t="s">
        <v>54</v>
      </c>
      <c r="C62" s="20" t="n">
        <v>0.05</v>
      </c>
      <c r="I62" s="15" t="s">
        <v>57</v>
      </c>
    </row>
    <row r="63" customFormat="false" ht="15" hidden="false" customHeight="false" outlineLevel="0" collapsed="false">
      <c r="A63" s="5" t="s">
        <v>129</v>
      </c>
      <c r="B63" s="14" t="s">
        <v>54</v>
      </c>
      <c r="C63" s="20" t="n">
        <v>0.04</v>
      </c>
      <c r="I63" s="15" t="s">
        <v>57</v>
      </c>
    </row>
    <row r="64" customFormat="false" ht="15" hidden="false" customHeight="false" outlineLevel="0" collapsed="false">
      <c r="A64" s="5" t="s">
        <v>130</v>
      </c>
      <c r="B64" s="14" t="s">
        <v>54</v>
      </c>
      <c r="C64" s="20" t="n">
        <v>0.015</v>
      </c>
      <c r="I64" s="15" t="s">
        <v>57</v>
      </c>
    </row>
    <row r="65" customFormat="false" ht="15" hidden="false" customHeight="false" outlineLevel="0" collapsed="false">
      <c r="A65" s="5" t="s">
        <v>131</v>
      </c>
      <c r="B65" s="14" t="s">
        <v>38</v>
      </c>
      <c r="D65" s="19" t="n">
        <v>5</v>
      </c>
      <c r="E65" s="19" t="n">
        <v>4</v>
      </c>
      <c r="F65" s="19" t="n">
        <v>2</v>
      </c>
      <c r="G65" s="19" t="n">
        <v>0</v>
      </c>
      <c r="H65" s="19" t="n">
        <v>0</v>
      </c>
      <c r="I65" s="15" t="s">
        <v>132</v>
      </c>
    </row>
    <row r="66" customFormat="false" ht="15" hidden="false" customHeight="false" outlineLevel="0" collapsed="false">
      <c r="A66" s="5" t="s">
        <v>133</v>
      </c>
      <c r="B66" s="14" t="s">
        <v>54</v>
      </c>
      <c r="C66" s="20" t="n">
        <v>0.22</v>
      </c>
      <c r="I66" s="15" t="s">
        <v>134</v>
      </c>
    </row>
    <row r="67" customFormat="false" ht="15" hidden="false" customHeight="false" outlineLevel="0" collapsed="false">
      <c r="A67" s="5" t="s">
        <v>135</v>
      </c>
      <c r="B67" s="14" t="s">
        <v>54</v>
      </c>
      <c r="C67" s="20" t="n">
        <v>0.25</v>
      </c>
      <c r="I67" s="15" t="s">
        <v>136</v>
      </c>
    </row>
    <row r="68" customFormat="false" ht="15" hidden="false" customHeight="false" outlineLevel="0" collapsed="false">
      <c r="A68" s="5" t="s">
        <v>137</v>
      </c>
      <c r="B68" s="14" t="s">
        <v>54</v>
      </c>
      <c r="C68" s="20" t="n">
        <v>0.3</v>
      </c>
      <c r="I68" s="15" t="s">
        <v>138</v>
      </c>
    </row>
    <row r="69" customFormat="false" ht="15" hidden="false" customHeight="false" outlineLevel="0" collapsed="false">
      <c r="A69" s="5" t="s">
        <v>139</v>
      </c>
      <c r="B69" s="14" t="s">
        <v>38</v>
      </c>
      <c r="C69" s="19" t="n">
        <v>3</v>
      </c>
      <c r="I69" s="15" t="s">
        <v>57</v>
      </c>
    </row>
    <row r="70" customFormat="false" ht="15" hidden="false" customHeight="false" outlineLevel="0" collapsed="false">
      <c r="A70" s="5" t="s">
        <v>140</v>
      </c>
      <c r="B70" s="14" t="s">
        <v>54</v>
      </c>
      <c r="C70" s="20" t="n">
        <v>0.015</v>
      </c>
      <c r="I70" s="15" t="s">
        <v>57</v>
      </c>
    </row>
    <row r="72" customFormat="false" ht="15" hidden="false" customHeight="false" outlineLevel="0" collapsed="false">
      <c r="A72" s="3" t="s">
        <v>141</v>
      </c>
      <c r="B72" s="4"/>
      <c r="C72" s="4"/>
      <c r="D72" s="4"/>
      <c r="E72" s="4"/>
      <c r="F72" s="4"/>
      <c r="G72" s="4"/>
      <c r="H72" s="4"/>
      <c r="I72" s="4"/>
    </row>
    <row r="73" customFormat="false" ht="15" hidden="false" customHeight="false" outlineLevel="0" collapsed="false">
      <c r="A73" s="6" t="s">
        <v>89</v>
      </c>
      <c r="B73" s="6" t="s">
        <v>95</v>
      </c>
      <c r="C73" s="7"/>
      <c r="D73" s="8" t="s">
        <v>142</v>
      </c>
      <c r="E73" s="8" t="s">
        <v>143</v>
      </c>
    </row>
    <row r="74" customFormat="false" ht="15" hidden="false" customHeight="false" outlineLevel="0" collapsed="false">
      <c r="A74" s="5" t="s">
        <v>144</v>
      </c>
      <c r="B74" s="14" t="s">
        <v>67</v>
      </c>
      <c r="D74" s="22" t="n">
        <v>2028</v>
      </c>
      <c r="E74" s="22" t="n">
        <v>2029</v>
      </c>
      <c r="I74" s="15" t="s">
        <v>145</v>
      </c>
    </row>
    <row r="75" customFormat="false" ht="15" hidden="false" customHeight="false" outlineLevel="0" collapsed="false">
      <c r="A75" s="5" t="s">
        <v>146</v>
      </c>
      <c r="B75" s="14" t="s">
        <v>38</v>
      </c>
      <c r="D75" s="19" t="n">
        <v>28</v>
      </c>
      <c r="E75" s="19" t="n">
        <v>18</v>
      </c>
      <c r="I75" s="15" t="s">
        <v>147</v>
      </c>
    </row>
    <row r="76" customFormat="false" ht="15" hidden="false" customHeight="false" outlineLevel="0" collapsed="false">
      <c r="A76" s="5" t="s">
        <v>148</v>
      </c>
      <c r="B76" s="14" t="s">
        <v>54</v>
      </c>
      <c r="D76" s="20" t="n">
        <v>0.04</v>
      </c>
      <c r="E76" s="20" t="n">
        <v>0.12</v>
      </c>
      <c r="I76" s="15" t="s">
        <v>149</v>
      </c>
    </row>
    <row r="77" customFormat="false" ht="15" hidden="false" customHeight="false" outlineLevel="0" collapsed="false">
      <c r="A77" s="5" t="s">
        <v>150</v>
      </c>
      <c r="B77" s="14" t="s">
        <v>54</v>
      </c>
      <c r="D77" s="20" t="n">
        <v>0.22</v>
      </c>
      <c r="E77" s="20" t="n">
        <v>0.2</v>
      </c>
      <c r="I77" s="15" t="s">
        <v>57</v>
      </c>
    </row>
    <row r="78" customFormat="false" ht="15" hidden="false" customHeight="false" outlineLevel="0" collapsed="false">
      <c r="A78" s="5" t="s">
        <v>151</v>
      </c>
      <c r="B78" s="14" t="s">
        <v>44</v>
      </c>
      <c r="D78" s="31" t="n">
        <v>8</v>
      </c>
      <c r="E78" s="31" t="n">
        <v>10</v>
      </c>
      <c r="I78" s="15" t="s">
        <v>152</v>
      </c>
    </row>
    <row r="79" customFormat="false" ht="15" hidden="false" customHeight="false" outlineLevel="0" collapsed="false">
      <c r="A79" s="5" t="s">
        <v>153</v>
      </c>
      <c r="B79" s="14" t="s">
        <v>54</v>
      </c>
      <c r="D79" s="20" t="n">
        <v>0.03</v>
      </c>
      <c r="E79" s="20" t="n">
        <v>0.03</v>
      </c>
      <c r="I79" s="15" t="s">
        <v>89</v>
      </c>
    </row>
    <row r="80" customFormat="false" ht="15" hidden="false" customHeight="false" outlineLevel="0" collapsed="false">
      <c r="A80" s="5" t="s">
        <v>154</v>
      </c>
      <c r="B80" s="14" t="s">
        <v>38</v>
      </c>
      <c r="D80" s="19" t="n">
        <v>2.5</v>
      </c>
      <c r="E80" s="19" t="n">
        <v>1.5</v>
      </c>
      <c r="I80" s="15" t="s">
        <v>155</v>
      </c>
    </row>
    <row r="81" customFormat="false" ht="15" hidden="false" customHeight="false" outlineLevel="0" collapsed="false">
      <c r="A81" s="5" t="s">
        <v>156</v>
      </c>
      <c r="B81" s="14" t="s">
        <v>38</v>
      </c>
      <c r="D81" s="19" t="n">
        <v>1.8</v>
      </c>
      <c r="E81" s="19" t="n">
        <v>0.5</v>
      </c>
      <c r="I81" s="15" t="s">
        <v>157</v>
      </c>
    </row>
    <row r="82" customFormat="false" ht="15" hidden="false" customHeight="false" outlineLevel="0" collapsed="false">
      <c r="A82" s="5" t="s">
        <v>158</v>
      </c>
      <c r="B82" s="14" t="s">
        <v>54</v>
      </c>
      <c r="D82" s="20" t="n">
        <v>0.25</v>
      </c>
      <c r="E82" s="20" t="n">
        <v>0.5</v>
      </c>
      <c r="I82" s="15" t="s">
        <v>89</v>
      </c>
    </row>
    <row r="83" customFormat="false" ht="15" hidden="false" customHeight="false" outlineLevel="0" collapsed="false">
      <c r="A83" s="5" t="s">
        <v>159</v>
      </c>
      <c r="B83" s="14" t="s">
        <v>54</v>
      </c>
      <c r="D83" s="20" t="n">
        <v>0.75</v>
      </c>
      <c r="E83" s="20" t="n">
        <v>1</v>
      </c>
      <c r="I83" s="15" t="s">
        <v>89</v>
      </c>
    </row>
    <row r="84" customFormat="false" ht="15" hidden="false" customHeight="false" outlineLevel="0" collapsed="false">
      <c r="A84" s="5" t="s">
        <v>160</v>
      </c>
      <c r="B84" s="14" t="s">
        <v>54</v>
      </c>
      <c r="D84" s="20" t="n">
        <v>1</v>
      </c>
      <c r="E84" s="20" t="n">
        <v>1</v>
      </c>
      <c r="I84" s="15" t="s">
        <v>89</v>
      </c>
    </row>
    <row r="85" customFormat="false" ht="15" hidden="false" customHeight="false" outlineLevel="0" collapsed="false">
      <c r="A85" s="5" t="s">
        <v>161</v>
      </c>
      <c r="B85" s="14" t="s">
        <v>38</v>
      </c>
      <c r="D85" s="17" t="n">
        <f aca="false">D87*D78</f>
        <v>49.28</v>
      </c>
      <c r="E85" s="17" t="n">
        <f aca="false">E87*E78</f>
        <v>36</v>
      </c>
    </row>
    <row r="86" customFormat="false" ht="15" hidden="false" customHeight="false" outlineLevel="0" collapsed="false">
      <c r="A86" s="1" t="s">
        <v>162</v>
      </c>
      <c r="B86" s="14" t="s">
        <v>38</v>
      </c>
      <c r="D86" s="32" t="n">
        <f aca="false">D85*(1+D79)</f>
        <v>50.7584</v>
      </c>
      <c r="E86" s="32" t="n">
        <f aca="false">E85*(1+E79)</f>
        <v>37.08</v>
      </c>
    </row>
    <row r="87" customFormat="false" ht="15" hidden="false" customHeight="false" outlineLevel="0" collapsed="false">
      <c r="A87" s="5" t="s">
        <v>163</v>
      </c>
      <c r="B87" s="14" t="s">
        <v>38</v>
      </c>
      <c r="D87" s="17" t="n">
        <f aca="false">D75*D77</f>
        <v>6.16</v>
      </c>
      <c r="E87" s="17" t="n">
        <f aca="false">E75*E77</f>
        <v>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8"/>
    <col collapsed="false" customWidth="true" hidden="false" outlineLevel="0" max="7" min="3" style="0" width="11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1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3" t="s">
        <v>166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6" t="s">
        <v>38</v>
      </c>
      <c r="B5" s="6" t="s">
        <v>95</v>
      </c>
      <c r="C5" s="8" t="s">
        <v>167</v>
      </c>
      <c r="D5" s="8" t="s">
        <v>168</v>
      </c>
      <c r="E5" s="8" t="s">
        <v>169</v>
      </c>
      <c r="F5" s="8" t="s">
        <v>170</v>
      </c>
      <c r="G5" s="8" t="s">
        <v>171</v>
      </c>
    </row>
    <row r="6" customFormat="false" ht="15" hidden="false" customHeight="false" outlineLevel="0" collapsed="false">
      <c r="A6" s="5" t="s">
        <v>172</v>
      </c>
      <c r="B6" s="14" t="s">
        <v>38</v>
      </c>
      <c r="C6" s="19" t="n">
        <v>72</v>
      </c>
      <c r="D6" s="19" t="n">
        <v>78</v>
      </c>
      <c r="E6" s="19" t="n">
        <v>84</v>
      </c>
      <c r="F6" s="19" t="n">
        <v>89.9</v>
      </c>
      <c r="G6" s="19" t="n">
        <v>96</v>
      </c>
    </row>
    <row r="7" customFormat="false" ht="15" hidden="false" customHeight="false" outlineLevel="0" collapsed="false">
      <c r="A7" s="5" t="s">
        <v>173</v>
      </c>
      <c r="B7" s="14" t="s">
        <v>38</v>
      </c>
      <c r="C7" s="19" t="n">
        <v>33.5</v>
      </c>
      <c r="D7" s="19" t="n">
        <v>35</v>
      </c>
      <c r="E7" s="19" t="n">
        <v>37</v>
      </c>
      <c r="F7" s="19" t="n">
        <v>39.6</v>
      </c>
      <c r="G7" s="19" t="n">
        <v>42</v>
      </c>
    </row>
    <row r="8" customFormat="false" ht="15" hidden="false" customHeight="false" outlineLevel="0" collapsed="false">
      <c r="A8" s="5" t="s">
        <v>174</v>
      </c>
      <c r="B8" s="14" t="s">
        <v>38</v>
      </c>
      <c r="C8" s="19" t="n">
        <v>10.3</v>
      </c>
      <c r="D8" s="19" t="n">
        <v>10.9</v>
      </c>
      <c r="E8" s="19" t="n">
        <v>11.4</v>
      </c>
      <c r="F8" s="19" t="n">
        <v>11.4</v>
      </c>
      <c r="G8" s="19" t="n">
        <v>12</v>
      </c>
    </row>
    <row r="9" customFormat="false" ht="15" hidden="false" customHeight="false" outlineLevel="0" collapsed="false">
      <c r="A9" s="1" t="s">
        <v>175</v>
      </c>
      <c r="B9" s="14" t="s">
        <v>38</v>
      </c>
      <c r="C9" s="33" t="n">
        <f aca="false">SUM(C6:C8)</f>
        <v>115.8</v>
      </c>
      <c r="D9" s="33" t="n">
        <f aca="false">SUM(D6:D8)</f>
        <v>123.9</v>
      </c>
      <c r="E9" s="33" t="n">
        <f aca="false">SUM(E6:E8)</f>
        <v>132.4</v>
      </c>
      <c r="F9" s="33" t="n">
        <f aca="false">SUM(F6:F8)</f>
        <v>140.9</v>
      </c>
      <c r="G9" s="33" t="n">
        <f aca="false">SUM(G6:G8)</f>
        <v>150</v>
      </c>
    </row>
    <row r="10" customFormat="false" ht="15" hidden="false" customHeight="false" outlineLevel="0" collapsed="false">
      <c r="A10" s="34" t="s">
        <v>176</v>
      </c>
      <c r="B10" s="14" t="s">
        <v>54</v>
      </c>
      <c r="D10" s="35" t="n">
        <f aca="false">D9/C9-1</f>
        <v>0.0699481865284974</v>
      </c>
      <c r="E10" s="35" t="n">
        <f aca="false">E9/D9-1</f>
        <v>0.0686037126715093</v>
      </c>
      <c r="F10" s="35" t="n">
        <f aca="false">F9/E9-1</f>
        <v>0.0641993957703928</v>
      </c>
      <c r="G10" s="35" t="n">
        <f aca="false">G9/F9-1</f>
        <v>0.0645848119233499</v>
      </c>
    </row>
    <row r="11" customFormat="false" ht="15" hidden="false" customHeight="false" outlineLevel="0" collapsed="false">
      <c r="A11" s="5" t="s">
        <v>177</v>
      </c>
      <c r="B11" s="14" t="s">
        <v>38</v>
      </c>
      <c r="C11" s="19" t="n">
        <v>70.6</v>
      </c>
      <c r="D11" s="19" t="n">
        <v>76</v>
      </c>
      <c r="E11" s="19" t="n">
        <v>81.6</v>
      </c>
      <c r="F11" s="19" t="n">
        <v>87.1</v>
      </c>
      <c r="G11" s="19" t="n">
        <v>93</v>
      </c>
      <c r="I11" s="15" t="s">
        <v>178</v>
      </c>
    </row>
    <row r="12" customFormat="false" ht="15" hidden="false" customHeight="false" outlineLevel="0" collapsed="false">
      <c r="A12" s="34" t="s">
        <v>179</v>
      </c>
      <c r="B12" s="14" t="s">
        <v>54</v>
      </c>
      <c r="C12" s="35" t="n">
        <f aca="false">C11/C9</f>
        <v>0.609671848013817</v>
      </c>
      <c r="D12" s="35" t="n">
        <f aca="false">D11/D9</f>
        <v>0.613397901533495</v>
      </c>
      <c r="E12" s="35" t="n">
        <f aca="false">E11/E9</f>
        <v>0.61631419939577</v>
      </c>
      <c r="F12" s="35" t="n">
        <f aca="false">F11/F9</f>
        <v>0.618168914123492</v>
      </c>
      <c r="G12" s="35" t="n">
        <f aca="false">G11/G9</f>
        <v>0.62</v>
      </c>
    </row>
    <row r="13" customFormat="false" ht="15" hidden="false" customHeight="false" outlineLevel="0" collapsed="false">
      <c r="A13" s="5" t="s">
        <v>180</v>
      </c>
      <c r="B13" s="14" t="s">
        <v>38</v>
      </c>
      <c r="C13" s="19" t="n">
        <v>-23.4</v>
      </c>
      <c r="D13" s="19" t="n">
        <v>-24.9</v>
      </c>
      <c r="E13" s="19" t="n">
        <v>-26.4</v>
      </c>
      <c r="F13" s="19" t="n">
        <v>-27.9</v>
      </c>
      <c r="G13" s="19" t="n">
        <v>-29.7</v>
      </c>
    </row>
    <row r="14" customFormat="false" ht="15" hidden="false" customHeight="false" outlineLevel="0" collapsed="false">
      <c r="A14" s="5" t="s">
        <v>181</v>
      </c>
      <c r="B14" s="14" t="s">
        <v>38</v>
      </c>
      <c r="C14" s="19" t="n">
        <v>-8</v>
      </c>
      <c r="D14" s="19" t="n">
        <v>-8.5</v>
      </c>
      <c r="E14" s="19" t="n">
        <v>-8.9</v>
      </c>
      <c r="F14" s="19" t="n">
        <v>-9.3</v>
      </c>
      <c r="G14" s="19" t="n">
        <v>-9.8</v>
      </c>
    </row>
    <row r="15" customFormat="false" ht="15" hidden="false" customHeight="false" outlineLevel="0" collapsed="false">
      <c r="A15" s="5" t="s">
        <v>182</v>
      </c>
      <c r="B15" s="14" t="s">
        <v>38</v>
      </c>
      <c r="C15" s="19" t="n">
        <v>-9.8</v>
      </c>
      <c r="D15" s="19" t="n">
        <v>-10.6</v>
      </c>
      <c r="E15" s="19" t="n">
        <v>-11</v>
      </c>
      <c r="F15" s="19" t="n">
        <v>-11.3</v>
      </c>
      <c r="G15" s="19" t="n">
        <v>-11.6</v>
      </c>
    </row>
    <row r="16" customFormat="false" ht="15" hidden="false" customHeight="false" outlineLevel="0" collapsed="false">
      <c r="A16" s="1" t="s">
        <v>183</v>
      </c>
      <c r="B16" s="14" t="s">
        <v>38</v>
      </c>
      <c r="C16" s="33" t="n">
        <f aca="false">C11+C13+C14+C15</f>
        <v>29.4</v>
      </c>
      <c r="D16" s="33" t="n">
        <f aca="false">D11+D13+D14+D15</f>
        <v>32</v>
      </c>
      <c r="E16" s="33" t="n">
        <f aca="false">E11+E13+E14+E15</f>
        <v>35.3</v>
      </c>
      <c r="F16" s="33" t="n">
        <f aca="false">F11+F13+F14+F15</f>
        <v>38.6</v>
      </c>
      <c r="G16" s="33" t="n">
        <f aca="false">G11+G13+G14+G15</f>
        <v>41.9</v>
      </c>
    </row>
    <row r="17" customFormat="false" ht="15" hidden="false" customHeight="false" outlineLevel="0" collapsed="false">
      <c r="A17" s="34" t="s">
        <v>184</v>
      </c>
      <c r="B17" s="14" t="s">
        <v>54</v>
      </c>
      <c r="C17" s="35" t="n">
        <f aca="false">C16/C9</f>
        <v>0.253886010362694</v>
      </c>
      <c r="D17" s="35" t="n">
        <f aca="false">D16/D9</f>
        <v>0.258272800645682</v>
      </c>
      <c r="E17" s="35" t="n">
        <f aca="false">E16/E9</f>
        <v>0.266616314199396</v>
      </c>
      <c r="F17" s="35" t="n">
        <f aca="false">F16/F9</f>
        <v>0.273953158268275</v>
      </c>
      <c r="G17" s="35" t="n">
        <f aca="false">G16/G9</f>
        <v>0.279333333333333</v>
      </c>
    </row>
    <row r="19" customFormat="false" ht="15" hidden="false" customHeight="false" outlineLevel="0" collapsed="false">
      <c r="A19" s="3" t="s">
        <v>185</v>
      </c>
      <c r="B19" s="4"/>
      <c r="C19" s="4"/>
      <c r="D19" s="4"/>
      <c r="E19" s="4"/>
      <c r="F19" s="4"/>
      <c r="G19" s="4"/>
      <c r="H19" s="4"/>
      <c r="I19" s="4"/>
    </row>
    <row r="20" customFormat="false" ht="15" hidden="false" customHeight="false" outlineLevel="0" collapsed="false">
      <c r="A20" s="6" t="s">
        <v>38</v>
      </c>
      <c r="B20" s="6" t="s">
        <v>95</v>
      </c>
      <c r="C20" s="8" t="s">
        <v>167</v>
      </c>
      <c r="D20" s="8" t="s">
        <v>168</v>
      </c>
      <c r="E20" s="8" t="s">
        <v>169</v>
      </c>
      <c r="F20" s="8" t="s">
        <v>170</v>
      </c>
      <c r="G20" s="8" t="s">
        <v>171</v>
      </c>
    </row>
    <row r="21" customFormat="false" ht="15" hidden="false" customHeight="false" outlineLevel="0" collapsed="false">
      <c r="A21" s="1" t="s">
        <v>183</v>
      </c>
      <c r="B21" s="14" t="s">
        <v>38</v>
      </c>
      <c r="C21" s="32" t="n">
        <f aca="false">C16</f>
        <v>29.4</v>
      </c>
      <c r="D21" s="32" t="n">
        <f aca="false">D16</f>
        <v>32</v>
      </c>
      <c r="E21" s="32" t="n">
        <f aca="false">E16</f>
        <v>35.3</v>
      </c>
      <c r="F21" s="32" t="n">
        <f aca="false">F16</f>
        <v>38.6</v>
      </c>
      <c r="G21" s="32" t="n">
        <f aca="false">G16</f>
        <v>41.9</v>
      </c>
    </row>
    <row r="22" customFormat="false" ht="15" hidden="false" customHeight="false" outlineLevel="0" collapsed="false">
      <c r="A22" s="5" t="s">
        <v>186</v>
      </c>
      <c r="B22" s="14" t="s">
        <v>38</v>
      </c>
      <c r="C22" s="19" t="n">
        <v>0.4</v>
      </c>
      <c r="D22" s="19" t="n">
        <v>0.9</v>
      </c>
      <c r="E22" s="19" t="n">
        <v>1.4</v>
      </c>
      <c r="F22" s="19" t="n">
        <v>1.5</v>
      </c>
      <c r="G22" s="19" t="n">
        <v>1.6</v>
      </c>
      <c r="I22" s="15" t="s">
        <v>187</v>
      </c>
    </row>
    <row r="23" customFormat="false" ht="15" hidden="false" customHeight="false" outlineLevel="0" collapsed="false">
      <c r="A23" s="1" t="s">
        <v>188</v>
      </c>
      <c r="B23" s="14" t="s">
        <v>38</v>
      </c>
      <c r="C23" s="33" t="n">
        <f aca="false">C21+C22</f>
        <v>29.8</v>
      </c>
      <c r="D23" s="33" t="n">
        <f aca="false">D21+D22</f>
        <v>32.9</v>
      </c>
      <c r="E23" s="33" t="n">
        <f aca="false">E21+E22</f>
        <v>36.7</v>
      </c>
      <c r="F23" s="33" t="n">
        <f aca="false">F21+F22</f>
        <v>40.1</v>
      </c>
      <c r="G23" s="33" t="n">
        <f aca="false">G21+G22</f>
        <v>43.5</v>
      </c>
    </row>
    <row r="24" customFormat="false" ht="15" hidden="false" customHeight="false" outlineLevel="0" collapsed="false">
      <c r="A24" s="34" t="s">
        <v>189</v>
      </c>
      <c r="B24" s="14" t="s">
        <v>54</v>
      </c>
      <c r="C24" s="35" t="n">
        <f aca="false">C23/C9</f>
        <v>0.2573402417962</v>
      </c>
      <c r="D24" s="35" t="n">
        <f aca="false">D23/D9</f>
        <v>0.265536723163842</v>
      </c>
      <c r="E24" s="35" t="n">
        <f aca="false">E23/E9</f>
        <v>0.277190332326284</v>
      </c>
      <c r="F24" s="35" t="n">
        <f aca="false">F23/F9</f>
        <v>0.284599006387509</v>
      </c>
      <c r="G24" s="35" t="n">
        <f aca="false">G23/G9</f>
        <v>0.29</v>
      </c>
    </row>
    <row r="25" customFormat="false" ht="15" hidden="false" customHeight="false" outlineLevel="0" collapsed="false">
      <c r="A25" s="5" t="s">
        <v>190</v>
      </c>
      <c r="B25" s="14" t="s">
        <v>38</v>
      </c>
      <c r="C25" s="17" t="n">
        <f aca="false">-C22</f>
        <v>-0.4</v>
      </c>
      <c r="D25" s="17" t="n">
        <f aca="false">-D22</f>
        <v>-0.9</v>
      </c>
      <c r="E25" s="17" t="n">
        <f aca="false">-E22</f>
        <v>-1.4</v>
      </c>
      <c r="F25" s="17" t="n">
        <f aca="false">-F22</f>
        <v>-1.5</v>
      </c>
      <c r="G25" s="17" t="n">
        <f aca="false">-G22</f>
        <v>-1.6</v>
      </c>
      <c r="I25" s="15" t="s">
        <v>191</v>
      </c>
    </row>
    <row r="26" customFormat="false" ht="15" hidden="false" customHeight="false" outlineLevel="0" collapsed="false">
      <c r="A26" s="5" t="s">
        <v>192</v>
      </c>
      <c r="B26" s="14" t="s">
        <v>38</v>
      </c>
      <c r="C26" s="19" t="n">
        <v>-1</v>
      </c>
      <c r="D26" s="19" t="n">
        <v>-1.1</v>
      </c>
      <c r="E26" s="19" t="n">
        <v>-1.2</v>
      </c>
      <c r="F26" s="19" t="n">
        <v>-1.2</v>
      </c>
      <c r="G26" s="19" t="n">
        <v>-1.3</v>
      </c>
      <c r="I26" s="15" t="s">
        <v>193</v>
      </c>
    </row>
    <row r="27" customFormat="false" ht="15" hidden="false" customHeight="false" outlineLevel="0" collapsed="false">
      <c r="A27" s="5" t="s">
        <v>194</v>
      </c>
      <c r="B27" s="14" t="s">
        <v>38</v>
      </c>
      <c r="C27" s="19" t="n">
        <v>-0.6</v>
      </c>
      <c r="D27" s="19" t="n">
        <v>-0.6</v>
      </c>
      <c r="E27" s="19" t="n">
        <v>-0.6</v>
      </c>
      <c r="F27" s="19" t="n">
        <v>-0.6</v>
      </c>
      <c r="G27" s="19" t="n">
        <v>-0.6</v>
      </c>
      <c r="I27" s="15" t="s">
        <v>195</v>
      </c>
    </row>
    <row r="28" customFormat="false" ht="15" hidden="false" customHeight="false" outlineLevel="0" collapsed="false">
      <c r="A28" s="1" t="s">
        <v>196</v>
      </c>
      <c r="B28" s="14" t="s">
        <v>38</v>
      </c>
      <c r="C28" s="33" t="n">
        <f aca="false">C23+C25+C26+C27</f>
        <v>27.8</v>
      </c>
      <c r="D28" s="33" t="n">
        <f aca="false">D23+D25+D26+D27</f>
        <v>30.3</v>
      </c>
      <c r="E28" s="33" t="n">
        <f aca="false">E23+E25+E26+E27</f>
        <v>33.5</v>
      </c>
      <c r="F28" s="33" t="n">
        <f aca="false">F23+F25+F26+F27</f>
        <v>36.8</v>
      </c>
      <c r="G28" s="33" t="n">
        <f aca="false">G23+G25+G26+G27</f>
        <v>40</v>
      </c>
    </row>
    <row r="29" customFormat="false" ht="15" hidden="false" customHeight="false" outlineLevel="0" collapsed="false">
      <c r="A29" s="34" t="s">
        <v>197</v>
      </c>
      <c r="B29" s="14" t="s">
        <v>54</v>
      </c>
      <c r="C29" s="35" t="n">
        <f aca="false">C28/C9</f>
        <v>0.24006908462867</v>
      </c>
      <c r="D29" s="35" t="n">
        <f aca="false">D28/D9</f>
        <v>0.24455205811138</v>
      </c>
      <c r="E29" s="35" t="n">
        <f aca="false">E28/E9</f>
        <v>0.253021148036254</v>
      </c>
      <c r="F29" s="35" t="n">
        <f aca="false">F28/F9</f>
        <v>0.261178140525195</v>
      </c>
      <c r="G29" s="35" t="n">
        <f aca="false">G28/G9</f>
        <v>0.266666666666667</v>
      </c>
    </row>
    <row r="30" customFormat="false" ht="15" hidden="false" customHeight="false" outlineLevel="0" collapsed="false">
      <c r="A30" s="5" t="s">
        <v>198</v>
      </c>
      <c r="B30" s="14" t="s">
        <v>38</v>
      </c>
      <c r="C30" s="17" t="n">
        <f aca="false">C23-C28</f>
        <v>2</v>
      </c>
      <c r="D30" s="17" t="n">
        <f aca="false">D23-D28</f>
        <v>2.6</v>
      </c>
      <c r="E30" s="17" t="n">
        <f aca="false">E23-E28</f>
        <v>3.2</v>
      </c>
      <c r="F30" s="17" t="n">
        <f aca="false">F23-F28</f>
        <v>3.3</v>
      </c>
      <c r="G30" s="17" t="n">
        <f aca="false">G23-G28</f>
        <v>3.5</v>
      </c>
    </row>
    <row r="32" customFormat="false" ht="15" hidden="false" customHeight="false" outlineLevel="0" collapsed="false">
      <c r="A32" s="3" t="s">
        <v>199</v>
      </c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false" outlineLevel="0" collapsed="false">
      <c r="A33" s="6" t="s">
        <v>38</v>
      </c>
      <c r="B33" s="6" t="s">
        <v>95</v>
      </c>
      <c r="C33" s="8" t="s">
        <v>167</v>
      </c>
      <c r="D33" s="8" t="s">
        <v>168</v>
      </c>
      <c r="E33" s="8" t="s">
        <v>169</v>
      </c>
      <c r="F33" s="8" t="s">
        <v>170</v>
      </c>
      <c r="G33" s="8" t="s">
        <v>171</v>
      </c>
    </row>
    <row r="34" customFormat="false" ht="15" hidden="false" customHeight="false" outlineLevel="0" collapsed="false">
      <c r="A34" s="5" t="s">
        <v>200</v>
      </c>
      <c r="B34" s="14" t="s">
        <v>38</v>
      </c>
      <c r="C34" s="19" t="n">
        <v>6.9</v>
      </c>
      <c r="D34" s="19" t="n">
        <v>7.4</v>
      </c>
      <c r="E34" s="19" t="n">
        <v>7.9</v>
      </c>
      <c r="F34" s="19" t="n">
        <v>8.4</v>
      </c>
      <c r="G34" s="19" t="n">
        <v>8.9</v>
      </c>
    </row>
    <row r="35" customFormat="false" ht="15" hidden="false" customHeight="false" outlineLevel="0" collapsed="false">
      <c r="A35" s="34" t="s">
        <v>201</v>
      </c>
      <c r="B35" s="14" t="s">
        <v>54</v>
      </c>
      <c r="C35" s="35" t="n">
        <f aca="false">C34/C9</f>
        <v>0.0595854922279793</v>
      </c>
      <c r="D35" s="35" t="n">
        <f aca="false">D34/D9</f>
        <v>0.059725585149314</v>
      </c>
      <c r="E35" s="35" t="n">
        <f aca="false">E34/E9</f>
        <v>0.0596676737160121</v>
      </c>
      <c r="F35" s="35" t="n">
        <f aca="false">F34/F9</f>
        <v>0.0596167494677076</v>
      </c>
      <c r="G35" s="35" t="n">
        <f aca="false">G34/G9</f>
        <v>0.0593333333333333</v>
      </c>
    </row>
    <row r="36" customFormat="false" ht="15" hidden="false" customHeight="false" outlineLevel="0" collapsed="false">
      <c r="A36" s="5" t="s">
        <v>202</v>
      </c>
      <c r="B36" s="14" t="s">
        <v>38</v>
      </c>
      <c r="C36" s="19" t="n">
        <v>25</v>
      </c>
      <c r="D36" s="19" t="n">
        <v>27.4</v>
      </c>
      <c r="E36" s="19" t="n">
        <v>29.7</v>
      </c>
      <c r="F36" s="19" t="n">
        <v>31</v>
      </c>
      <c r="G36" s="19" t="n">
        <v>33</v>
      </c>
    </row>
    <row r="37" customFormat="false" ht="15" hidden="false" customHeight="false" outlineLevel="0" collapsed="false">
      <c r="A37" s="34" t="s">
        <v>203</v>
      </c>
      <c r="B37" s="14" t="s">
        <v>54</v>
      </c>
      <c r="C37" s="35" t="n">
        <f aca="false">C36/C9</f>
        <v>0.215889464594128</v>
      </c>
      <c r="D37" s="35" t="n">
        <f aca="false">D36/D9</f>
        <v>0.221146085552865</v>
      </c>
      <c r="E37" s="35" t="n">
        <f aca="false">E36/E9</f>
        <v>0.224320241691843</v>
      </c>
      <c r="F37" s="35" t="n">
        <f aca="false">F36/F9</f>
        <v>0.220014194464159</v>
      </c>
      <c r="G37" s="35" t="n">
        <f aca="false">G36/G9</f>
        <v>0.22</v>
      </c>
    </row>
    <row r="38" customFormat="false" ht="15" hidden="false" customHeight="false" outlineLevel="0" collapsed="false">
      <c r="A38" s="34" t="s">
        <v>204</v>
      </c>
      <c r="B38" s="14" t="s">
        <v>54</v>
      </c>
      <c r="D38" s="35" t="n">
        <f aca="false">(D28-D34-(D36-C36))/D28</f>
        <v>0.676567656765677</v>
      </c>
      <c r="E38" s="35" t="n">
        <f aca="false">(E28-E34-(E36-D36))/E28</f>
        <v>0.695522388059702</v>
      </c>
      <c r="F38" s="35" t="n">
        <f aca="false">(F28-F34-(F36-E36))/F28</f>
        <v>0.736413043478261</v>
      </c>
      <c r="G38" s="35" t="n">
        <f aca="false">(G28-G34-(G36-F36))/G28</f>
        <v>0.7275</v>
      </c>
    </row>
    <row r="40" customFormat="false" ht="15" hidden="false" customHeight="false" outlineLevel="0" collapsed="false">
      <c r="A40" s="3" t="s">
        <v>205</v>
      </c>
      <c r="B40" s="4"/>
      <c r="C40" s="4"/>
      <c r="D40" s="4"/>
      <c r="E40" s="4"/>
      <c r="F40" s="4"/>
      <c r="G40" s="4"/>
      <c r="H40" s="4"/>
      <c r="I40" s="4"/>
    </row>
    <row r="41" customFormat="false" ht="15" hidden="false" customHeight="false" outlineLevel="0" collapsed="false">
      <c r="A41" s="6" t="s">
        <v>38</v>
      </c>
      <c r="B41" s="6" t="s">
        <v>95</v>
      </c>
      <c r="C41" s="8" t="s">
        <v>96</v>
      </c>
      <c r="D41" s="8" t="s">
        <v>97</v>
      </c>
      <c r="E41" s="8" t="s">
        <v>98</v>
      </c>
      <c r="F41" s="8" t="s">
        <v>99</v>
      </c>
      <c r="G41" s="8" t="s">
        <v>100</v>
      </c>
    </row>
    <row r="42" customFormat="false" ht="15" hidden="false" customHeight="false" outlineLevel="0" collapsed="false">
      <c r="A42" s="5" t="s">
        <v>176</v>
      </c>
      <c r="B42" s="14" t="s">
        <v>54</v>
      </c>
      <c r="C42" s="20" t="n">
        <v>0.1</v>
      </c>
      <c r="D42" s="20" t="n">
        <v>0.11</v>
      </c>
      <c r="E42" s="20" t="n">
        <v>0.115</v>
      </c>
      <c r="F42" s="20" t="n">
        <v>0.115</v>
      </c>
      <c r="G42" s="20" t="n">
        <v>0.11</v>
      </c>
      <c r="I42" s="15" t="s">
        <v>206</v>
      </c>
    </row>
    <row r="43" customFormat="false" ht="15" hidden="false" customHeight="false" outlineLevel="0" collapsed="false">
      <c r="A43" s="5" t="s">
        <v>207</v>
      </c>
      <c r="B43" s="14" t="s">
        <v>38</v>
      </c>
      <c r="C43" s="17" t="n">
        <f aca="false">$G$9*(1+C42)</f>
        <v>165</v>
      </c>
      <c r="D43" s="17" t="n">
        <f aca="false">C43*(1+D42)</f>
        <v>183.15</v>
      </c>
      <c r="E43" s="17" t="n">
        <f aca="false">D43*(1+E42)</f>
        <v>204.21225</v>
      </c>
      <c r="F43" s="17" t="n">
        <f aca="false">E43*(1+F42)</f>
        <v>227.69665875</v>
      </c>
      <c r="G43" s="17" t="n">
        <f aca="false">F43*(1+G42)</f>
        <v>252.7432912125</v>
      </c>
    </row>
    <row r="44" customFormat="false" ht="15" hidden="false" customHeight="false" outlineLevel="0" collapsed="false">
      <c r="A44" s="5" t="s">
        <v>208</v>
      </c>
      <c r="B44" s="14" t="s">
        <v>54</v>
      </c>
      <c r="C44" s="20" t="n">
        <v>0.303</v>
      </c>
      <c r="D44" s="20" t="n">
        <v>0.318</v>
      </c>
      <c r="E44" s="20" t="n">
        <v>0.333</v>
      </c>
      <c r="F44" s="20" t="n">
        <v>0.343</v>
      </c>
      <c r="G44" s="20" t="n">
        <v>0.348</v>
      </c>
    </row>
    <row r="45" customFormat="false" ht="15" hidden="false" customHeight="false" outlineLevel="0" collapsed="false">
      <c r="A45" s="1" t="s">
        <v>209</v>
      </c>
      <c r="B45" s="14" t="s">
        <v>38</v>
      </c>
      <c r="C45" s="32" t="n">
        <f aca="false">C43*C44</f>
        <v>49.995</v>
      </c>
      <c r="D45" s="32" t="n">
        <f aca="false">D43*D44</f>
        <v>58.2417</v>
      </c>
      <c r="E45" s="32" t="n">
        <f aca="false">E43*E44</f>
        <v>68.00267925</v>
      </c>
      <c r="F45" s="32" t="n">
        <f aca="false">F43*F44</f>
        <v>78.09995395125</v>
      </c>
      <c r="G45" s="32" t="n">
        <f aca="false">G43*G44</f>
        <v>87.95466534195</v>
      </c>
    </row>
    <row r="47" customFormat="false" ht="15" hidden="false" customHeight="false" outlineLevel="0" collapsed="false">
      <c r="A47" s="3" t="s">
        <v>210</v>
      </c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false" outlineLevel="0" collapsed="false">
      <c r="A48" s="6" t="s">
        <v>211</v>
      </c>
      <c r="B48" s="6" t="s">
        <v>95</v>
      </c>
      <c r="C48" s="8" t="s">
        <v>171</v>
      </c>
    </row>
    <row r="49" customFormat="false" ht="15" hidden="false" customHeight="false" outlineLevel="0" collapsed="false">
      <c r="A49" s="5" t="s">
        <v>212</v>
      </c>
      <c r="B49" s="14" t="s">
        <v>213</v>
      </c>
      <c r="C49" s="30" t="n">
        <v>2350</v>
      </c>
    </row>
    <row r="50" customFormat="false" ht="15" hidden="false" customHeight="false" outlineLevel="0" collapsed="false">
      <c r="A50" s="5" t="s">
        <v>214</v>
      </c>
      <c r="B50" s="14" t="s">
        <v>213</v>
      </c>
      <c r="C50" s="30" t="n">
        <v>950</v>
      </c>
    </row>
    <row r="51" customFormat="false" ht="15" hidden="false" customHeight="false" outlineLevel="0" collapsed="false">
      <c r="A51" s="5" t="s">
        <v>215</v>
      </c>
      <c r="B51" s="14" t="s">
        <v>213</v>
      </c>
      <c r="C51" s="36" t="n">
        <f aca="false">C49-C50</f>
        <v>1400</v>
      </c>
    </row>
    <row r="52" customFormat="false" ht="15" hidden="false" customHeight="false" outlineLevel="0" collapsed="false">
      <c r="A52" s="5" t="s">
        <v>216</v>
      </c>
      <c r="B52" s="14" t="s">
        <v>213</v>
      </c>
      <c r="C52" s="30" t="n">
        <v>185</v>
      </c>
    </row>
    <row r="53" customFormat="false" ht="15" hidden="false" customHeight="false" outlineLevel="0" collapsed="false">
      <c r="A53" s="5" t="s">
        <v>217</v>
      </c>
      <c r="B53" s="14" t="s">
        <v>213</v>
      </c>
      <c r="C53" s="30" t="n">
        <v>140</v>
      </c>
    </row>
    <row r="54" customFormat="false" ht="15" hidden="false" customHeight="false" outlineLevel="0" collapsed="false">
      <c r="A54" s="5" t="s">
        <v>218</v>
      </c>
      <c r="B54" s="14" t="s">
        <v>213</v>
      </c>
      <c r="C54" s="30" t="n">
        <v>22</v>
      </c>
    </row>
    <row r="55" customFormat="false" ht="15" hidden="false" customHeight="false" outlineLevel="0" collapsed="false">
      <c r="A55" s="5" t="s">
        <v>219</v>
      </c>
      <c r="B55" s="14" t="s">
        <v>213</v>
      </c>
      <c r="C55" s="30" t="n">
        <v>620</v>
      </c>
    </row>
    <row r="56" customFormat="false" ht="15" hidden="false" customHeight="false" outlineLevel="0" collapsed="false">
      <c r="A56" s="5" t="s">
        <v>220</v>
      </c>
      <c r="B56" s="14" t="s">
        <v>54</v>
      </c>
      <c r="C56" s="20" t="n">
        <v>0.9</v>
      </c>
    </row>
    <row r="57" customFormat="false" ht="15" hidden="false" customHeight="false" outlineLevel="0" collapsed="false">
      <c r="A57" s="5" t="s">
        <v>221</v>
      </c>
      <c r="B57" s="14" t="s">
        <v>54</v>
      </c>
      <c r="C57" s="20" t="n">
        <v>0.27</v>
      </c>
    </row>
    <row r="58" customFormat="false" ht="15" hidden="false" customHeight="false" outlineLevel="0" collapsed="false">
      <c r="A58" s="5" t="s">
        <v>222</v>
      </c>
      <c r="B58" s="14" t="s">
        <v>54</v>
      </c>
      <c r="C58" s="20" t="n">
        <v>0.07</v>
      </c>
    </row>
    <row r="60" customFormat="false" ht="15" hidden="false" customHeight="false" outlineLevel="0" collapsed="false">
      <c r="A60" s="5" t="s">
        <v>223</v>
      </c>
      <c r="B60" s="14" t="s">
        <v>54</v>
      </c>
      <c r="C60" s="20" t="n">
        <v>0.34</v>
      </c>
    </row>
    <row r="61" customFormat="false" ht="15" hidden="false" customHeight="false" outlineLevel="0" collapsed="false">
      <c r="A61" s="5" t="s">
        <v>224</v>
      </c>
      <c r="B61" s="14" t="s">
        <v>54</v>
      </c>
      <c r="C61" s="20" t="n">
        <v>0.17</v>
      </c>
    </row>
    <row r="62" customFormat="false" ht="15" hidden="false" customHeight="false" outlineLevel="0" collapsed="false">
      <c r="A62" s="5" t="s">
        <v>225</v>
      </c>
      <c r="B62" s="14" t="s">
        <v>54</v>
      </c>
      <c r="C62" s="20" t="n">
        <v>0.12</v>
      </c>
    </row>
    <row r="63" customFormat="false" ht="15" hidden="false" customHeight="false" outlineLevel="0" collapsed="false">
      <c r="A63" s="5" t="s">
        <v>226</v>
      </c>
      <c r="B63" s="14" t="s">
        <v>54</v>
      </c>
      <c r="C63" s="20" t="n">
        <v>0.09</v>
      </c>
    </row>
    <row r="64" customFormat="false" ht="15" hidden="false" customHeight="false" outlineLevel="0" collapsed="false">
      <c r="A64" s="5" t="s">
        <v>227</v>
      </c>
      <c r="B64" s="14" t="s">
        <v>54</v>
      </c>
      <c r="C64" s="20" t="n">
        <v>0.11</v>
      </c>
    </row>
    <row r="65" customFormat="false" ht="15" hidden="false" customHeight="false" outlineLevel="0" collapsed="false">
      <c r="A65" s="5" t="s">
        <v>228</v>
      </c>
      <c r="B65" s="14" t="s">
        <v>54</v>
      </c>
      <c r="C65" s="20" t="n">
        <v>0.05</v>
      </c>
    </row>
    <row r="66" customFormat="false" ht="15" hidden="false" customHeight="false" outlineLevel="0" collapsed="false">
      <c r="A66" s="5" t="s">
        <v>229</v>
      </c>
      <c r="B66" s="14" t="s">
        <v>54</v>
      </c>
      <c r="C66" s="20" t="n">
        <v>0.12</v>
      </c>
    </row>
    <row r="67" customFormat="false" ht="15" hidden="false" customHeight="false" outlineLevel="0" collapsed="false">
      <c r="A67" s="1" t="s">
        <v>230</v>
      </c>
      <c r="B67" s="14" t="s">
        <v>54</v>
      </c>
      <c r="C67" s="37" t="n">
        <f aca="false">SUM(C60:C66)</f>
        <v>1</v>
      </c>
    </row>
    <row r="69" customFormat="false" ht="15" hidden="false" customHeight="false" outlineLevel="0" collapsed="false">
      <c r="A69" s="5" t="s">
        <v>231</v>
      </c>
      <c r="B69" s="14" t="s">
        <v>54</v>
      </c>
      <c r="C69" s="20" t="n">
        <v>0.81</v>
      </c>
    </row>
    <row r="70" customFormat="false" ht="15" hidden="false" customHeight="false" outlineLevel="0" collapsed="false">
      <c r="A70" s="5" t="s">
        <v>232</v>
      </c>
      <c r="B70" s="14" t="s">
        <v>54</v>
      </c>
      <c r="C70" s="20" t="n">
        <v>0.12</v>
      </c>
    </row>
    <row r="71" customFormat="false" ht="15" hidden="false" customHeight="false" outlineLevel="0" collapsed="false">
      <c r="A71" s="5" t="s">
        <v>233</v>
      </c>
      <c r="B71" s="14" t="s">
        <v>54</v>
      </c>
      <c r="C71" s="20" t="n">
        <v>0.07</v>
      </c>
    </row>
    <row r="72" customFormat="false" ht="15" hidden="false" customHeight="false" outlineLevel="0" collapsed="false">
      <c r="A72" s="1" t="s">
        <v>234</v>
      </c>
      <c r="B72" s="14" t="s">
        <v>54</v>
      </c>
      <c r="C72" s="37" t="n">
        <f aca="false">SUM(C69:C71)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236</v>
      </c>
    </row>
    <row r="4" customFormat="false" ht="15" hidden="false" customHeight="false" outlineLevel="0" collapsed="false">
      <c r="A4" s="3" t="s">
        <v>237</v>
      </c>
      <c r="B4" s="4"/>
      <c r="C4" s="38" t="s">
        <v>38</v>
      </c>
      <c r="D4" s="38" t="s">
        <v>238</v>
      </c>
      <c r="E4" s="4"/>
    </row>
    <row r="5" customFormat="false" ht="15" hidden="false" customHeight="false" outlineLevel="0" collapsed="false">
      <c r="A5" s="5" t="s">
        <v>239</v>
      </c>
      <c r="B5" s="14" t="s">
        <v>38</v>
      </c>
      <c r="C5" s="9" t="n">
        <f aca="false">Inputs!C10</f>
        <v>540</v>
      </c>
      <c r="D5" s="28" t="n">
        <f aca="false">C5/$C$9</f>
        <v>0.950369588173178</v>
      </c>
    </row>
    <row r="6" customFormat="false" ht="15" hidden="false" customHeight="false" outlineLevel="0" collapsed="false">
      <c r="A6" s="5" t="s">
        <v>240</v>
      </c>
      <c r="B6" s="14" t="s">
        <v>38</v>
      </c>
      <c r="C6" s="17" t="n">
        <f aca="false">Inputs!C16*C5</f>
        <v>10.8</v>
      </c>
      <c r="D6" s="28" t="n">
        <f aca="false">C6/$C$9</f>
        <v>0.0190073917634636</v>
      </c>
    </row>
    <row r="7" customFormat="false" ht="15" hidden="false" customHeight="false" outlineLevel="0" collapsed="false">
      <c r="A7" s="5" t="s">
        <v>241</v>
      </c>
      <c r="B7" s="14" t="s">
        <v>38</v>
      </c>
      <c r="C7" s="17" t="n">
        <f aca="false">Inputs!C29*Inputs!C30+(Inputs!C31+Inputs!C32)*Inputs!C33</f>
        <v>7.4</v>
      </c>
      <c r="D7" s="28" t="n">
        <f aca="false">C7/$C$9</f>
        <v>0.0130235832453361</v>
      </c>
    </row>
    <row r="8" customFormat="false" ht="15" hidden="false" customHeight="false" outlineLevel="0" collapsed="false">
      <c r="A8" s="5" t="s">
        <v>242</v>
      </c>
      <c r="B8" s="14" t="s">
        <v>38</v>
      </c>
      <c r="C8" s="9" t="n">
        <f aca="false">Inputs!C17</f>
        <v>10</v>
      </c>
      <c r="D8" s="28" t="n">
        <f aca="false">C8/$C$9</f>
        <v>0.0175994368180218</v>
      </c>
    </row>
    <row r="9" customFormat="false" ht="15" hidden="false" customHeight="false" outlineLevel="0" collapsed="false">
      <c r="A9" s="1" t="s">
        <v>243</v>
      </c>
      <c r="B9" s="14" t="s">
        <v>38</v>
      </c>
      <c r="C9" s="33" t="n">
        <f aca="false">SUM(C5:C8)</f>
        <v>568.2</v>
      </c>
      <c r="D9" s="37" t="n">
        <f aca="false">SUM(D5:D8)</f>
        <v>1</v>
      </c>
    </row>
    <row r="11" customFormat="false" ht="15" hidden="false" customHeight="false" outlineLevel="0" collapsed="false">
      <c r="A11" s="3" t="s">
        <v>244</v>
      </c>
      <c r="B11" s="4"/>
      <c r="C11" s="4"/>
      <c r="D11" s="4"/>
      <c r="E11" s="4"/>
    </row>
    <row r="12" customFormat="false" ht="15" hidden="false" customHeight="false" outlineLevel="0" collapsed="false">
      <c r="A12" s="5" t="s">
        <v>245</v>
      </c>
      <c r="B12" s="14" t="s">
        <v>38</v>
      </c>
      <c r="C12" s="9" t="n">
        <f aca="false">Inputs!C29</f>
        <v>240</v>
      </c>
      <c r="D12" s="28" t="n">
        <f aca="false">C12/$C$16</f>
        <v>0.422386483632524</v>
      </c>
    </row>
    <row r="13" customFormat="false" ht="15" hidden="false" customHeight="false" outlineLevel="0" collapsed="false">
      <c r="A13" s="5" t="s">
        <v>58</v>
      </c>
      <c r="B13" s="14" t="s">
        <v>38</v>
      </c>
      <c r="C13" s="9" t="n">
        <f aca="false">Inputs!C18</f>
        <v>40</v>
      </c>
      <c r="D13" s="28" t="n">
        <f aca="false">C13/$C$16</f>
        <v>0.0703977472720873</v>
      </c>
    </row>
    <row r="14" customFormat="false" ht="15" hidden="false" customHeight="false" outlineLevel="0" collapsed="false">
      <c r="A14" s="5" t="s">
        <v>60</v>
      </c>
      <c r="B14" s="14" t="s">
        <v>38</v>
      </c>
      <c r="C14" s="9" t="n">
        <f aca="false">Inputs!C19</f>
        <v>6</v>
      </c>
      <c r="D14" s="28" t="n">
        <f aca="false">C14/$C$16</f>
        <v>0.0105596620908131</v>
      </c>
    </row>
    <row r="15" customFormat="false" ht="15" hidden="false" customHeight="false" outlineLevel="0" collapsed="false">
      <c r="A15" s="5" t="s">
        <v>246</v>
      </c>
      <c r="B15" s="14" t="s">
        <v>38</v>
      </c>
      <c r="C15" s="17" t="n">
        <f aca="false">C9-C12-C13-C14</f>
        <v>282.2</v>
      </c>
      <c r="D15" s="28" t="n">
        <f aca="false">C15/$C$16</f>
        <v>0.496656107004576</v>
      </c>
      <c r="E15" s="15" t="s">
        <v>247</v>
      </c>
    </row>
    <row r="16" customFormat="false" ht="15" hidden="false" customHeight="false" outlineLevel="0" collapsed="false">
      <c r="A16" s="1" t="s">
        <v>248</v>
      </c>
      <c r="B16" s="14" t="s">
        <v>38</v>
      </c>
      <c r="C16" s="33" t="n">
        <f aca="false">SUM(C12:C15)</f>
        <v>568.2</v>
      </c>
      <c r="D16" s="37" t="n">
        <f aca="false">SUM(D12:D15)</f>
        <v>1</v>
      </c>
    </row>
    <row r="17" customFormat="false" ht="15" hidden="false" customHeight="false" outlineLevel="0" collapsed="false">
      <c r="A17" s="34" t="s">
        <v>249</v>
      </c>
      <c r="C17" s="39" t="n">
        <f aca="false">C16-C9</f>
        <v>0</v>
      </c>
    </row>
    <row r="19" customFormat="false" ht="15" hidden="false" customHeight="false" outlineLevel="0" collapsed="false">
      <c r="A19" s="3" t="s">
        <v>250</v>
      </c>
      <c r="B19" s="4"/>
      <c r="C19" s="4"/>
      <c r="D19" s="4"/>
      <c r="E19" s="4"/>
    </row>
    <row r="20" customFormat="false" ht="15" hidden="false" customHeight="false" outlineLevel="0" collapsed="false">
      <c r="A20" s="1" t="s">
        <v>251</v>
      </c>
      <c r="B20" s="14" t="s">
        <v>38</v>
      </c>
      <c r="C20" s="32" t="n">
        <f aca="false">C13+C14+C15</f>
        <v>328.2</v>
      </c>
      <c r="D20" s="40" t="n">
        <f aca="false">SUM(D21:D23)</f>
        <v>1</v>
      </c>
    </row>
    <row r="21" customFormat="false" ht="15" hidden="false" customHeight="false" outlineLevel="0" collapsed="false">
      <c r="A21" s="5" t="s">
        <v>252</v>
      </c>
      <c r="B21" s="14" t="s">
        <v>38</v>
      </c>
      <c r="C21" s="17" t="n">
        <f aca="false">C15</f>
        <v>282.2</v>
      </c>
      <c r="D21" s="28" t="n">
        <f aca="false">C21/$C$20</f>
        <v>0.859841560024375</v>
      </c>
      <c r="E21" s="15" t="s">
        <v>253</v>
      </c>
    </row>
    <row r="22" customFormat="false" ht="15" hidden="false" customHeight="false" outlineLevel="0" collapsed="false">
      <c r="A22" s="5" t="s">
        <v>254</v>
      </c>
      <c r="B22" s="14" t="s">
        <v>38</v>
      </c>
      <c r="C22" s="17" t="n">
        <f aca="false">C13</f>
        <v>40</v>
      </c>
      <c r="D22" s="28" t="n">
        <f aca="false">C22/$C$20</f>
        <v>0.12187690432663</v>
      </c>
    </row>
    <row r="23" customFormat="false" ht="15" hidden="false" customHeight="false" outlineLevel="0" collapsed="false">
      <c r="A23" s="5" t="s">
        <v>24</v>
      </c>
      <c r="B23" s="14" t="s">
        <v>38</v>
      </c>
      <c r="C23" s="17" t="n">
        <f aca="false">C14</f>
        <v>6</v>
      </c>
      <c r="D23" s="28" t="n">
        <f aca="false">C23/$C$20</f>
        <v>0.0182815356489945</v>
      </c>
    </row>
    <row r="25" customFormat="false" ht="15" hidden="false" customHeight="false" outlineLevel="0" collapsed="false">
      <c r="A25" s="3" t="s">
        <v>255</v>
      </c>
      <c r="B25" s="4"/>
      <c r="C25" s="4"/>
      <c r="D25" s="4"/>
      <c r="E25" s="4"/>
    </row>
    <row r="26" customFormat="false" ht="15" hidden="false" customHeight="false" outlineLevel="0" collapsed="false">
      <c r="A26" s="5" t="s">
        <v>256</v>
      </c>
      <c r="B26" s="14" t="s">
        <v>44</v>
      </c>
      <c r="C26" s="41" t="n">
        <f aca="false">C5/Inputs!C8</f>
        <v>13.5</v>
      </c>
    </row>
    <row r="27" customFormat="false" ht="15" hidden="false" customHeight="false" outlineLevel="0" collapsed="false">
      <c r="A27" s="5" t="s">
        <v>257</v>
      </c>
      <c r="B27" s="14" t="s">
        <v>44</v>
      </c>
      <c r="C27" s="41" t="n">
        <f aca="false">C5/Inputs!C7</f>
        <v>12.4137931034483</v>
      </c>
    </row>
    <row r="28" customFormat="false" ht="15" hidden="false" customHeight="false" outlineLevel="0" collapsed="false">
      <c r="A28" s="5" t="s">
        <v>258</v>
      </c>
      <c r="B28" s="14" t="s">
        <v>44</v>
      </c>
      <c r="C28" s="41" t="n">
        <f aca="false">C5/Inputs!C5</f>
        <v>3.6</v>
      </c>
    </row>
    <row r="29" customFormat="false" ht="15" hidden="false" customHeight="false" outlineLevel="0" collapsed="false">
      <c r="A29" s="5" t="s">
        <v>259</v>
      </c>
      <c r="B29" s="14" t="s">
        <v>44</v>
      </c>
      <c r="C29" s="41" t="n">
        <f aca="false">C12/Inputs!C8</f>
        <v>6</v>
      </c>
    </row>
    <row r="30" customFormat="false" ht="15" hidden="false" customHeight="false" outlineLevel="0" collapsed="false">
      <c r="A30" s="5" t="s">
        <v>260</v>
      </c>
      <c r="B30" s="14" t="s">
        <v>44</v>
      </c>
      <c r="C30" s="41" t="n">
        <f aca="false">(C12-C8)/Inputs!C8</f>
        <v>5.75</v>
      </c>
    </row>
    <row r="31" customFormat="false" ht="15" hidden="false" customHeight="false" outlineLevel="0" collapsed="false">
      <c r="A31" s="5" t="s">
        <v>261</v>
      </c>
      <c r="B31" s="14" t="s">
        <v>54</v>
      </c>
      <c r="C31" s="28" t="n">
        <f aca="false">C20/C16</f>
        <v>0.577613516367476</v>
      </c>
    </row>
    <row r="32" customFormat="false" ht="15" hidden="false" customHeight="false" outlineLevel="0" collapsed="false">
      <c r="A32" s="5" t="s">
        <v>262</v>
      </c>
      <c r="B32" s="14" t="s">
        <v>54</v>
      </c>
      <c r="C32" s="28" t="n">
        <f aca="false">C12/C5</f>
        <v>0.444444444444444</v>
      </c>
    </row>
    <row r="33" customFormat="false" ht="15" hidden="false" customHeight="false" outlineLevel="0" collapsed="false">
      <c r="A33" s="5" t="s">
        <v>263</v>
      </c>
      <c r="B33" s="14" t="s">
        <v>54</v>
      </c>
      <c r="C33" s="28" t="n">
        <f aca="false">(C6+C7)/C5</f>
        <v>0.0337037037037037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8" min="4" style="0" width="11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3" customFormat="false" ht="15" hidden="false" customHeight="false" outlineLevel="0" collapsed="false">
      <c r="A3" s="5" t="s">
        <v>266</v>
      </c>
      <c r="C3" s="30" t="n">
        <v>1</v>
      </c>
    </row>
    <row r="5" customFormat="false" ht="15" hidden="false" customHeight="false" outlineLevel="0" collapsed="false">
      <c r="A5" s="6" t="s">
        <v>38</v>
      </c>
      <c r="B5" s="6" t="s">
        <v>95</v>
      </c>
      <c r="C5" s="8" t="s">
        <v>171</v>
      </c>
      <c r="D5" s="8" t="s">
        <v>96</v>
      </c>
      <c r="E5" s="8" t="s">
        <v>97</v>
      </c>
      <c r="F5" s="8" t="s">
        <v>98</v>
      </c>
      <c r="G5" s="8" t="s">
        <v>99</v>
      </c>
      <c r="H5" s="8" t="s">
        <v>100</v>
      </c>
    </row>
    <row r="6" customFormat="false" ht="15" hidden="false" customHeight="false" outlineLevel="0" collapsed="false">
      <c r="A6" s="34" t="s">
        <v>267</v>
      </c>
      <c r="C6" s="30" t="n">
        <v>0</v>
      </c>
      <c r="D6" s="42" t="n">
        <f aca="false">C6+1</f>
        <v>1</v>
      </c>
      <c r="E6" s="42" t="n">
        <f aca="false">D6+1</f>
        <v>2</v>
      </c>
      <c r="F6" s="42" t="n">
        <f aca="false">E6+1</f>
        <v>3</v>
      </c>
      <c r="G6" s="42" t="n">
        <f aca="false">F6+1</f>
        <v>4</v>
      </c>
      <c r="H6" s="42" t="n">
        <f aca="false">G6+1</f>
        <v>5</v>
      </c>
    </row>
    <row r="7" customFormat="false" ht="15" hidden="false" customHeight="false" outlineLevel="0" collapsed="false">
      <c r="A7" s="34" t="s">
        <v>268</v>
      </c>
      <c r="C7" s="22" t="n">
        <v>2026</v>
      </c>
      <c r="D7" s="43" t="n">
        <f aca="false">C7+1</f>
        <v>2027</v>
      </c>
      <c r="E7" s="43" t="n">
        <f aca="false">D7+1</f>
        <v>2028</v>
      </c>
      <c r="F7" s="43" t="n">
        <f aca="false">E7+1</f>
        <v>2029</v>
      </c>
      <c r="G7" s="43" t="n">
        <f aca="false">F7+1</f>
        <v>2030</v>
      </c>
      <c r="H7" s="43" t="n">
        <f aca="false">G7+1</f>
        <v>2031</v>
      </c>
    </row>
    <row r="9" customFormat="false" ht="15" hidden="false" customHeight="false" outlineLevel="0" collapsed="false">
      <c r="A9" s="3" t="s">
        <v>207</v>
      </c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34" t="s">
        <v>269</v>
      </c>
      <c r="B10" s="14" t="s">
        <v>54</v>
      </c>
      <c r="D10" s="35" t="n">
        <f aca="false">INDEX(Inputs!D$45:D$47,$C$3)+Inputs!$C$52</f>
        <v>0.075</v>
      </c>
      <c r="E10" s="35" t="n">
        <f aca="false">INDEX(Inputs!E$45:E$47,$C$3)+Inputs!$C$52</f>
        <v>0.08</v>
      </c>
      <c r="F10" s="35" t="n">
        <f aca="false">INDEX(Inputs!F$45:F$47,$C$3)+Inputs!$C$52</f>
        <v>0.085</v>
      </c>
      <c r="G10" s="35" t="n">
        <f aca="false">INDEX(Inputs!G$45:G$47,$C$3)+Inputs!$C$52</f>
        <v>0.085</v>
      </c>
      <c r="H10" s="35" t="n">
        <f aca="false">INDEX(Inputs!H$45:H$47,$C$3)+Inputs!$C$52</f>
        <v>0.08</v>
      </c>
      <c r="I10" s="15" t="s">
        <v>270</v>
      </c>
    </row>
    <row r="11" customFormat="false" ht="15" hidden="false" customHeight="false" outlineLevel="0" collapsed="false">
      <c r="A11" s="5" t="s">
        <v>271</v>
      </c>
      <c r="B11" s="14" t="s">
        <v>38</v>
      </c>
      <c r="C11" s="9" t="n">
        <f aca="false">Inputs!$C$5</f>
        <v>150</v>
      </c>
      <c r="D11" s="17" t="n">
        <f aca="false">C11*(1+D10)</f>
        <v>161.25</v>
      </c>
      <c r="E11" s="17" t="n">
        <f aca="false">D11*(1+E10)</f>
        <v>174.15</v>
      </c>
      <c r="F11" s="17" t="n">
        <f aca="false">E11*(1+F10)</f>
        <v>188.95275</v>
      </c>
      <c r="G11" s="17" t="n">
        <f aca="false">F11*(1+G10)</f>
        <v>205.01373375</v>
      </c>
      <c r="H11" s="17" t="n">
        <f aca="false">G11*(1+H10)</f>
        <v>221.41483245</v>
      </c>
    </row>
    <row r="12" customFormat="false" ht="15" hidden="false" customHeight="false" outlineLevel="0" collapsed="false">
      <c r="A12" s="5" t="s">
        <v>272</v>
      </c>
      <c r="B12" s="14" t="s">
        <v>38</v>
      </c>
      <c r="C12" s="19" t="n">
        <v>0</v>
      </c>
      <c r="D12" s="17" t="n">
        <f aca="false">IF(AND(INDEX(Inputs!$D$57:$F$57,$C$3)=1,D$7&gt;=Inputs!$D$74),Inputs!$D$75*(1+Inputs!$D$76)^(D$7-Inputs!$D$74+1),0)</f>
        <v>0</v>
      </c>
      <c r="E12" s="17" t="n">
        <f aca="false">IF(AND(INDEX(Inputs!$D$57:$F$57,$C$3)=1,E$7&gt;=Inputs!$D$74),Inputs!$D$75*(1+Inputs!$D$76)^(E$7-Inputs!$D$74+1),0)</f>
        <v>29.12</v>
      </c>
      <c r="F12" s="17" t="n">
        <f aca="false">IF(AND(INDEX(Inputs!$D$57:$F$57,$C$3)=1,F$7&gt;=Inputs!$D$74),Inputs!$D$75*(1+Inputs!$D$76)^(F$7-Inputs!$D$74+1),0)</f>
        <v>30.2848</v>
      </c>
      <c r="G12" s="17" t="n">
        <f aca="false">IF(AND(INDEX(Inputs!$D$57:$F$57,$C$3)=1,G$7&gt;=Inputs!$D$74),Inputs!$D$75*(1+Inputs!$D$76)^(G$7-Inputs!$D$74+1),0)</f>
        <v>31.496192</v>
      </c>
      <c r="H12" s="17" t="n">
        <f aca="false">IF(AND(INDEX(Inputs!$D$57:$F$57,$C$3)=1,H$7&gt;=Inputs!$D$74),Inputs!$D$75*(1+Inputs!$D$76)^(H$7-Inputs!$D$74+1),0)</f>
        <v>32.75603968</v>
      </c>
      <c r="I12" s="15" t="s">
        <v>273</v>
      </c>
    </row>
    <row r="13" customFormat="false" ht="15" hidden="false" customHeight="false" outlineLevel="0" collapsed="false">
      <c r="A13" s="5" t="s">
        <v>274</v>
      </c>
      <c r="B13" s="14" t="s">
        <v>38</v>
      </c>
      <c r="C13" s="19" t="n">
        <v>0</v>
      </c>
      <c r="D13" s="17" t="n">
        <f aca="false">IF(AND(INDEX(Inputs!$D$58:$F$58,$C$3)=1,D$7&gt;=Inputs!$E$74),Inputs!$E$75*(1+Inputs!$E$76)^(D$7-Inputs!$E$74+1),0)</f>
        <v>0</v>
      </c>
      <c r="E13" s="17" t="n">
        <f aca="false">IF(AND(INDEX(Inputs!$D$58:$F$58,$C$3)=1,E$7&gt;=Inputs!$E$74),Inputs!$E$75*(1+Inputs!$E$76)^(E$7-Inputs!$E$74+1),0)</f>
        <v>0</v>
      </c>
      <c r="F13" s="17" t="n">
        <f aca="false">IF(AND(INDEX(Inputs!$D$58:$F$58,$C$3)=1,F$7&gt;=Inputs!$E$74),Inputs!$E$75*(1+Inputs!$E$76)^(F$7-Inputs!$E$74+1),0)</f>
        <v>20.16</v>
      </c>
      <c r="G13" s="17" t="n">
        <f aca="false">IF(AND(INDEX(Inputs!$D$58:$F$58,$C$3)=1,G$7&gt;=Inputs!$E$74),Inputs!$E$75*(1+Inputs!$E$76)^(G$7-Inputs!$E$74+1),0)</f>
        <v>22.5792</v>
      </c>
      <c r="H13" s="17" t="n">
        <f aca="false">IF(AND(INDEX(Inputs!$D$58:$F$58,$C$3)=1,H$7&gt;=Inputs!$E$74),Inputs!$E$75*(1+Inputs!$E$76)^(H$7-Inputs!$E$74+1),0)</f>
        <v>25.288704</v>
      </c>
    </row>
    <row r="14" customFormat="false" ht="15" hidden="false" customHeight="false" outlineLevel="0" collapsed="false">
      <c r="A14" s="1" t="s">
        <v>175</v>
      </c>
      <c r="B14" s="14" t="s">
        <v>38</v>
      </c>
      <c r="C14" s="33" t="n">
        <f aca="false">SUM(C11:C13)</f>
        <v>150</v>
      </c>
      <c r="D14" s="33" t="n">
        <f aca="false">SUM(D11:D13)</f>
        <v>161.25</v>
      </c>
      <c r="E14" s="33" t="n">
        <f aca="false">SUM(E11:E13)</f>
        <v>203.27</v>
      </c>
      <c r="F14" s="33" t="n">
        <f aca="false">SUM(F11:F13)</f>
        <v>239.39755</v>
      </c>
      <c r="G14" s="33" t="n">
        <f aca="false">SUM(G11:G13)</f>
        <v>259.08912575</v>
      </c>
      <c r="H14" s="33" t="n">
        <f aca="false">SUM(H11:H13)</f>
        <v>279.45957613</v>
      </c>
    </row>
    <row r="15" customFormat="false" ht="15" hidden="false" customHeight="false" outlineLevel="0" collapsed="false">
      <c r="A15" s="34" t="s">
        <v>275</v>
      </c>
      <c r="B15" s="14" t="s">
        <v>54</v>
      </c>
      <c r="D15" s="35" t="n">
        <f aca="false">D14/C14-1</f>
        <v>0.075</v>
      </c>
      <c r="E15" s="35" t="n">
        <f aca="false">E14/D14-1</f>
        <v>0.260589147286822</v>
      </c>
      <c r="F15" s="35" t="n">
        <f aca="false">F14/E14-1</f>
        <v>0.17773183450583</v>
      </c>
      <c r="G15" s="35" t="n">
        <f aca="false">G14/F14-1</f>
        <v>0.0822547087470193</v>
      </c>
      <c r="H15" s="35" t="n">
        <f aca="false">H14/G14-1</f>
        <v>0.0786233321102634</v>
      </c>
    </row>
    <row r="17" customFormat="false" ht="15" hidden="false" customHeight="false" outlineLevel="0" collapsed="false">
      <c r="A17" s="3" t="s">
        <v>276</v>
      </c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A18" s="34" t="s">
        <v>277</v>
      </c>
      <c r="B18" s="14" t="s">
        <v>54</v>
      </c>
      <c r="C18" s="35" t="n">
        <f aca="false">C19/C11</f>
        <v>0.266666666666667</v>
      </c>
      <c r="D18" s="35" t="n">
        <f aca="false">INDEX(Inputs!D$48:D$50,$C$3)+Inputs!$C$53</f>
        <v>0.275</v>
      </c>
      <c r="E18" s="35" t="n">
        <f aca="false">INDEX(Inputs!E$48:E$50,$C$3)+Inputs!$C$53</f>
        <v>0.284</v>
      </c>
      <c r="F18" s="35" t="n">
        <f aca="false">INDEX(Inputs!F$48:F$50,$C$3)+Inputs!$C$53</f>
        <v>0.293</v>
      </c>
      <c r="G18" s="35" t="n">
        <f aca="false">INDEX(Inputs!G$48:G$50,$C$3)+Inputs!$C$53</f>
        <v>0.301</v>
      </c>
      <c r="H18" s="35" t="n">
        <f aca="false">INDEX(Inputs!H$48:H$50,$C$3)+Inputs!$C$53</f>
        <v>0.308</v>
      </c>
    </row>
    <row r="19" customFormat="false" ht="15" hidden="false" customHeight="false" outlineLevel="0" collapsed="false">
      <c r="A19" s="5" t="s">
        <v>278</v>
      </c>
      <c r="B19" s="14" t="s">
        <v>38</v>
      </c>
      <c r="C19" s="9" t="n">
        <f aca="false">Inputs!$C$8</f>
        <v>40</v>
      </c>
      <c r="D19" s="17" t="n">
        <f aca="false">D11*D18</f>
        <v>44.34375</v>
      </c>
      <c r="E19" s="17" t="n">
        <f aca="false">E11*E18</f>
        <v>49.4586</v>
      </c>
      <c r="F19" s="17" t="n">
        <f aca="false">F11*F18</f>
        <v>55.36315575</v>
      </c>
      <c r="G19" s="17" t="n">
        <f aca="false">G11*G18</f>
        <v>61.70913385875</v>
      </c>
      <c r="H19" s="17" t="n">
        <f aca="false">H11*H18</f>
        <v>68.1957683946</v>
      </c>
    </row>
    <row r="20" customFormat="false" ht="15" hidden="false" customHeight="false" outlineLevel="0" collapsed="false">
      <c r="A20" s="5" t="s">
        <v>279</v>
      </c>
      <c r="B20" s="14" t="s">
        <v>38</v>
      </c>
      <c r="C20" s="19" t="n">
        <v>0</v>
      </c>
      <c r="D20" s="17" t="n">
        <f aca="false">D12*Inputs!$D$77</f>
        <v>0</v>
      </c>
      <c r="E20" s="17" t="n">
        <f aca="false">E12*Inputs!$D$77</f>
        <v>6.4064</v>
      </c>
      <c r="F20" s="17" t="n">
        <f aca="false">F12*Inputs!$D$77</f>
        <v>6.662656</v>
      </c>
      <c r="G20" s="17" t="n">
        <f aca="false">G12*Inputs!$D$77</f>
        <v>6.92916224</v>
      </c>
      <c r="H20" s="17" t="n">
        <f aca="false">H12*Inputs!$D$77</f>
        <v>7.2063287296</v>
      </c>
    </row>
    <row r="21" customFormat="false" ht="15" hidden="false" customHeight="false" outlineLevel="0" collapsed="false">
      <c r="A21" s="5" t="s">
        <v>280</v>
      </c>
      <c r="B21" s="14" t="s">
        <v>38</v>
      </c>
      <c r="C21" s="19" t="n">
        <v>0</v>
      </c>
      <c r="D21" s="17" t="n">
        <f aca="false">IF(D12&gt;0,Inputs!$D$81*IF(D$7-Inputs!$D$74=0,Inputs!$D$82,IF(D$7-Inputs!$D$74=1,Inputs!$D$83,Inputs!$D$84)),0)</f>
        <v>0</v>
      </c>
      <c r="E21" s="17" t="n">
        <f aca="false">IF(E12&gt;0,Inputs!$D$81*IF(E$7-Inputs!$D$74=0,Inputs!$D$82,IF(E$7-Inputs!$D$74=1,Inputs!$D$83,Inputs!$D$84)),0)</f>
        <v>0.45</v>
      </c>
      <c r="F21" s="17" t="n">
        <f aca="false">IF(F12&gt;0,Inputs!$D$81*IF(F$7-Inputs!$D$74=0,Inputs!$D$82,IF(F$7-Inputs!$D$74=1,Inputs!$D$83,Inputs!$D$84)),0)</f>
        <v>1.35</v>
      </c>
      <c r="G21" s="17" t="n">
        <f aca="false">IF(G12&gt;0,Inputs!$D$81*IF(G$7-Inputs!$D$74=0,Inputs!$D$82,IF(G$7-Inputs!$D$74=1,Inputs!$D$83,Inputs!$D$84)),0)</f>
        <v>1.8</v>
      </c>
      <c r="H21" s="17" t="n">
        <f aca="false">IF(H12&gt;0,Inputs!$D$81*IF(H$7-Inputs!$D$74=0,Inputs!$D$82,IF(H$7-Inputs!$D$74=1,Inputs!$D$83,Inputs!$D$84)),0)</f>
        <v>1.8</v>
      </c>
    </row>
    <row r="22" customFormat="false" ht="15" hidden="false" customHeight="false" outlineLevel="0" collapsed="false">
      <c r="A22" s="5" t="s">
        <v>281</v>
      </c>
      <c r="B22" s="14" t="s">
        <v>38</v>
      </c>
      <c r="C22" s="19" t="n">
        <v>0</v>
      </c>
      <c r="D22" s="17" t="n">
        <f aca="false">D13*Inputs!$E$77</f>
        <v>0</v>
      </c>
      <c r="E22" s="17" t="n">
        <f aca="false">E13*Inputs!$E$77</f>
        <v>0</v>
      </c>
      <c r="F22" s="17" t="n">
        <f aca="false">F13*Inputs!$E$77</f>
        <v>4.032</v>
      </c>
      <c r="G22" s="17" t="n">
        <f aca="false">G13*Inputs!$E$77</f>
        <v>4.51584</v>
      </c>
      <c r="H22" s="17" t="n">
        <f aca="false">H13*Inputs!$E$77</f>
        <v>5.0577408</v>
      </c>
    </row>
    <row r="23" customFormat="false" ht="15" hidden="false" customHeight="false" outlineLevel="0" collapsed="false">
      <c r="A23" s="5" t="s">
        <v>282</v>
      </c>
      <c r="B23" s="14" t="s">
        <v>38</v>
      </c>
      <c r="C23" s="19" t="n">
        <v>0</v>
      </c>
      <c r="D23" s="17" t="n">
        <f aca="false">IF(D13&gt;0,Inputs!$E$81*IF(D$7-Inputs!$E$74=0,Inputs!$E$82,IF(D$7-Inputs!$E$74=1,Inputs!$E$83,Inputs!$E$84)),0)</f>
        <v>0</v>
      </c>
      <c r="E23" s="17" t="n">
        <f aca="false">IF(E13&gt;0,Inputs!$E$81*IF(E$7-Inputs!$E$74=0,Inputs!$E$82,IF(E$7-Inputs!$E$74=1,Inputs!$E$83,Inputs!$E$84)),0)</f>
        <v>0</v>
      </c>
      <c r="F23" s="17" t="n">
        <f aca="false">IF(F13&gt;0,Inputs!$E$81*IF(F$7-Inputs!$E$74=0,Inputs!$E$82,IF(F$7-Inputs!$E$74=1,Inputs!$E$83,Inputs!$E$84)),0)</f>
        <v>0.25</v>
      </c>
      <c r="G23" s="17" t="n">
        <f aca="false">IF(G13&gt;0,Inputs!$E$81*IF(G$7-Inputs!$E$74=0,Inputs!$E$82,IF(G$7-Inputs!$E$74=1,Inputs!$E$83,Inputs!$E$84)),0)</f>
        <v>0.5</v>
      </c>
      <c r="H23" s="17" t="n">
        <f aca="false">IF(H13&gt;0,Inputs!$E$81*IF(H$7-Inputs!$E$74=0,Inputs!$E$82,IF(H$7-Inputs!$E$74=1,Inputs!$E$83,Inputs!$E$84)),0)</f>
        <v>0.5</v>
      </c>
    </row>
    <row r="24" customFormat="false" ht="15" hidden="false" customHeight="false" outlineLevel="0" collapsed="false">
      <c r="A24" s="1" t="s">
        <v>283</v>
      </c>
      <c r="B24" s="14" t="s">
        <v>38</v>
      </c>
      <c r="C24" s="33" t="n">
        <f aca="false">SUM(C19:C23)</f>
        <v>40</v>
      </c>
      <c r="D24" s="33" t="n">
        <f aca="false">SUM(D19:D23)</f>
        <v>44.34375</v>
      </c>
      <c r="E24" s="33" t="n">
        <f aca="false">SUM(E19:E23)</f>
        <v>56.315</v>
      </c>
      <c r="F24" s="33" t="n">
        <f aca="false">SUM(F19:F23)</f>
        <v>67.65781175</v>
      </c>
      <c r="G24" s="33" t="n">
        <f aca="false">SUM(G19:G23)</f>
        <v>75.45413609875</v>
      </c>
      <c r="H24" s="33" t="n">
        <f aca="false">SUM(H19:H23)</f>
        <v>82.7598379242</v>
      </c>
    </row>
    <row r="25" customFormat="false" ht="15" hidden="false" customHeight="false" outlineLevel="0" collapsed="false">
      <c r="A25" s="34" t="s">
        <v>284</v>
      </c>
      <c r="B25" s="14" t="s">
        <v>54</v>
      </c>
      <c r="C25" s="35" t="n">
        <f aca="false">C24/C14</f>
        <v>0.266666666666667</v>
      </c>
      <c r="D25" s="35" t="n">
        <f aca="false">D24/D14</f>
        <v>0.275</v>
      </c>
      <c r="E25" s="35" t="n">
        <f aca="false">E24/E14</f>
        <v>0.277045309194667</v>
      </c>
      <c r="F25" s="35" t="n">
        <f aca="false">F24/F14</f>
        <v>0.282616976447754</v>
      </c>
      <c r="G25" s="35" t="n">
        <f aca="false">G24/G14</f>
        <v>0.291228494751868</v>
      </c>
      <c r="H25" s="35" t="n">
        <f aca="false">H24/H14</f>
        <v>0.296142429865067</v>
      </c>
    </row>
    <row r="26" customFormat="false" ht="15" hidden="false" customHeight="false" outlineLevel="0" collapsed="false">
      <c r="A26" s="34" t="s">
        <v>285</v>
      </c>
      <c r="B26" s="14" t="s">
        <v>54</v>
      </c>
      <c r="D26" s="35" t="n">
        <f aca="false">D24/C24-1</f>
        <v>0.10859375</v>
      </c>
      <c r="E26" s="35" t="n">
        <f aca="false">E24/D24-1</f>
        <v>0.269964763918252</v>
      </c>
      <c r="F26" s="35" t="n">
        <f aca="false">F24/E24-1</f>
        <v>0.201417237858475</v>
      </c>
      <c r="G26" s="35" t="n">
        <f aca="false">G24/F24-1</f>
        <v>0.115231695307527</v>
      </c>
      <c r="H26" s="35" t="n">
        <f aca="false">H24/G24-1</f>
        <v>0.0968230795975018</v>
      </c>
    </row>
    <row r="28" customFormat="false" ht="15" hidden="false" customHeight="false" outlineLevel="0" collapsed="false">
      <c r="A28" s="3" t="s">
        <v>286</v>
      </c>
      <c r="B28" s="4"/>
      <c r="C28" s="4"/>
      <c r="D28" s="4"/>
      <c r="E28" s="4"/>
      <c r="F28" s="4"/>
      <c r="G28" s="4"/>
      <c r="H28" s="4"/>
      <c r="I28" s="4"/>
    </row>
    <row r="29" customFormat="false" ht="15" hidden="false" customHeight="false" outlineLevel="0" collapsed="false">
      <c r="A29" s="5" t="s">
        <v>287</v>
      </c>
      <c r="B29" s="14" t="s">
        <v>38</v>
      </c>
      <c r="D29" s="17" t="n">
        <f aca="false">D24</f>
        <v>44.34375</v>
      </c>
      <c r="E29" s="17" t="n">
        <f aca="false">E24</f>
        <v>56.315</v>
      </c>
      <c r="F29" s="17" t="n">
        <f aca="false">F24</f>
        <v>67.65781175</v>
      </c>
      <c r="G29" s="17" t="n">
        <f aca="false">G24</f>
        <v>75.45413609875</v>
      </c>
      <c r="H29" s="17" t="n">
        <f aca="false">H24</f>
        <v>82.7598379242</v>
      </c>
    </row>
    <row r="30" customFormat="false" ht="15" hidden="false" customHeight="false" outlineLevel="0" collapsed="false">
      <c r="A30" s="5" t="s">
        <v>288</v>
      </c>
      <c r="B30" s="14" t="s">
        <v>38</v>
      </c>
      <c r="D30" s="17" t="n">
        <f aca="false">-(IF(AND(INDEX(Inputs!$D$57:$F$57,$C$3)=1,D$7=Inputs!$D$74),Inputs!$D$80,0)+IF(AND(INDEX(Inputs!$D$58:$F$58,$C$3)=1,D$7=Inputs!$E$74),Inputs!$E$80,0))</f>
        <v>-0</v>
      </c>
      <c r="E30" s="17" t="n">
        <f aca="false">-(IF(AND(INDEX(Inputs!$D$57:$F$57,$C$3)=1,E$7=Inputs!$D$74),Inputs!$D$80,0)+IF(AND(INDEX(Inputs!$D$58:$F$58,$C$3)=1,E$7=Inputs!$E$74),Inputs!$E$80,0))</f>
        <v>-2.5</v>
      </c>
      <c r="F30" s="17" t="n">
        <f aca="false">-(IF(AND(INDEX(Inputs!$D$57:$F$57,$C$3)=1,F$7=Inputs!$D$74),Inputs!$D$80,0)+IF(AND(INDEX(Inputs!$D$58:$F$58,$C$3)=1,F$7=Inputs!$E$74),Inputs!$E$80,0))</f>
        <v>-1.5</v>
      </c>
      <c r="G30" s="17" t="n">
        <f aca="false">-(IF(AND(INDEX(Inputs!$D$57:$F$57,$C$3)=1,G$7=Inputs!$D$74),Inputs!$D$80,0)+IF(AND(INDEX(Inputs!$D$58:$F$58,$C$3)=1,G$7=Inputs!$E$74),Inputs!$E$80,0))</f>
        <v>-0</v>
      </c>
      <c r="H30" s="17" t="n">
        <f aca="false">-(IF(AND(INDEX(Inputs!$D$57:$F$57,$C$3)=1,H$7=Inputs!$D$74),Inputs!$D$80,0)+IF(AND(INDEX(Inputs!$D$58:$F$58,$C$3)=1,H$7=Inputs!$E$74),Inputs!$E$80,0))</f>
        <v>-0</v>
      </c>
    </row>
    <row r="31" customFormat="false" ht="15" hidden="false" customHeight="false" outlineLevel="0" collapsed="false">
      <c r="A31" s="5" t="s">
        <v>289</v>
      </c>
      <c r="B31" s="14" t="s">
        <v>38</v>
      </c>
      <c r="D31" s="17" t="n">
        <f aca="false">-D14*Inputs!$C$63</f>
        <v>-6.45</v>
      </c>
      <c r="E31" s="17" t="n">
        <f aca="false">-E14*Inputs!$C$63</f>
        <v>-8.1308</v>
      </c>
      <c r="F31" s="17" t="n">
        <f aca="false">-F14*Inputs!$C$63</f>
        <v>-9.575902</v>
      </c>
      <c r="G31" s="17" t="n">
        <f aca="false">-G14*Inputs!$C$63</f>
        <v>-10.36356503</v>
      </c>
      <c r="H31" s="17" t="n">
        <f aca="false">-H14*Inputs!$C$63</f>
        <v>-11.1783830452</v>
      </c>
    </row>
    <row r="32" customFormat="false" ht="15" hidden="false" customHeight="false" outlineLevel="0" collapsed="false">
      <c r="A32" s="5" t="s">
        <v>290</v>
      </c>
      <c r="B32" s="14" t="s">
        <v>38</v>
      </c>
      <c r="D32" s="17" t="n">
        <f aca="false">-D14*Inputs!$C$64</f>
        <v>-2.41875</v>
      </c>
      <c r="E32" s="17" t="n">
        <f aca="false">-E14*Inputs!$C$64</f>
        <v>-3.04905</v>
      </c>
      <c r="F32" s="17" t="n">
        <f aca="false">-F14*Inputs!$C$64</f>
        <v>-3.59096325</v>
      </c>
      <c r="G32" s="17" t="n">
        <f aca="false">-G14*Inputs!$C$64</f>
        <v>-3.88633688625</v>
      </c>
      <c r="H32" s="17" t="n">
        <f aca="false">-H14*Inputs!$C$64</f>
        <v>-4.19189364195</v>
      </c>
    </row>
    <row r="33" customFormat="false" ht="15" hidden="false" customHeight="false" outlineLevel="0" collapsed="false">
      <c r="A33" s="5" t="s">
        <v>291</v>
      </c>
      <c r="B33" s="14" t="s">
        <v>38</v>
      </c>
      <c r="D33" s="17" t="n">
        <f aca="false">-Inputs!D$65</f>
        <v>-5</v>
      </c>
      <c r="E33" s="17" t="n">
        <f aca="false">-Inputs!E$65</f>
        <v>-4</v>
      </c>
      <c r="F33" s="17" t="n">
        <f aca="false">-Inputs!F$65</f>
        <v>-2</v>
      </c>
      <c r="G33" s="17" t="n">
        <f aca="false">-Inputs!G$65</f>
        <v>-0</v>
      </c>
      <c r="H33" s="17" t="n">
        <f aca="false">-Inputs!H$65</f>
        <v>-0</v>
      </c>
    </row>
    <row r="34" customFormat="false" ht="15" hidden="false" customHeight="false" outlineLevel="0" collapsed="false">
      <c r="A34" s="5" t="s">
        <v>292</v>
      </c>
      <c r="B34" s="14" t="s">
        <v>38</v>
      </c>
      <c r="D34" s="17" t="n">
        <f aca="false">-(D57-C57-D58)</f>
        <v>-2.475</v>
      </c>
      <c r="E34" s="17" t="n">
        <f aca="false">-(E57-D57-E58)</f>
        <v>-3.0844</v>
      </c>
      <c r="F34" s="17" t="n">
        <f aca="false">-(F57-E57-F58)</f>
        <v>-3.988061</v>
      </c>
      <c r="G34" s="17" t="n">
        <f aca="false">-(G57-F57-G58)</f>
        <v>-4.332146665</v>
      </c>
      <c r="H34" s="17" t="n">
        <f aca="false">-(H57-G57-H58)</f>
        <v>-4.48149908360001</v>
      </c>
      <c r="I34" s="15" t="s">
        <v>293</v>
      </c>
    </row>
    <row r="35" customFormat="false" ht="15" hidden="false" customHeight="false" outlineLevel="0" collapsed="false">
      <c r="A35" s="5" t="s">
        <v>294</v>
      </c>
      <c r="B35" s="14" t="s">
        <v>38</v>
      </c>
      <c r="D35" s="17" t="n">
        <f aca="false">-D54</f>
        <v>-5.74453125</v>
      </c>
      <c r="E35" s="17" t="n">
        <f aca="false">-E54</f>
        <v>-6.68925</v>
      </c>
      <c r="F35" s="17" t="n">
        <f aca="false">-F54</f>
        <v>-8.47264768125</v>
      </c>
      <c r="G35" s="17" t="n">
        <f aca="false">-G54</f>
        <v>-9.96585974540625</v>
      </c>
      <c r="H35" s="17" t="n">
        <f aca="false">-H54</f>
        <v>-10.98972693511</v>
      </c>
    </row>
    <row r="36" customFormat="false" ht="15" hidden="false" customHeight="false" outlineLevel="0" collapsed="false">
      <c r="A36" s="5" t="s">
        <v>295</v>
      </c>
      <c r="B36" s="14" t="s">
        <v>38</v>
      </c>
      <c r="D36" s="17" t="n">
        <f aca="false">-D86</f>
        <v>-18.29875</v>
      </c>
      <c r="E36" s="17" t="n">
        <f aca="false">-E86</f>
        <v>-20.614005084375</v>
      </c>
      <c r="F36" s="17" t="n">
        <f aca="false">-F86</f>
        <v>-21.9437441775703</v>
      </c>
      <c r="G36" s="17" t="n">
        <f aca="false">-G86</f>
        <v>-20.8241558567907</v>
      </c>
      <c r="H36" s="17" t="n">
        <f aca="false">-H86</f>
        <v>-19.0636160025077</v>
      </c>
    </row>
    <row r="37" customFormat="false" ht="15" hidden="false" customHeight="false" outlineLevel="0" collapsed="false">
      <c r="A37" s="1" t="s">
        <v>286</v>
      </c>
      <c r="B37" s="14" t="s">
        <v>38</v>
      </c>
      <c r="D37" s="33" t="n">
        <f aca="false">SUM(D29:D36)</f>
        <v>3.95671875</v>
      </c>
      <c r="E37" s="33" t="n">
        <f aca="false">SUM(E29:E36)</f>
        <v>8.247494915625</v>
      </c>
      <c r="F37" s="33" t="n">
        <f aca="false">SUM(F29:F36)</f>
        <v>16.5864936411797</v>
      </c>
      <c r="G37" s="33" t="n">
        <f aca="false">SUM(G29:G36)</f>
        <v>26.0820719153031</v>
      </c>
      <c r="H37" s="33" t="n">
        <f aca="false">SUM(H29:H36)</f>
        <v>32.8547192158323</v>
      </c>
    </row>
    <row r="38" customFormat="false" ht="15" hidden="false" customHeight="false" outlineLevel="0" collapsed="false">
      <c r="A38" s="5" t="s">
        <v>296</v>
      </c>
      <c r="B38" s="14" t="s">
        <v>38</v>
      </c>
      <c r="D38" s="17" t="n">
        <f aca="false">-IF(D$7=Inputs!$C$23,$C$137,0)</f>
        <v>-0</v>
      </c>
      <c r="E38" s="17" t="n">
        <f aca="false">-IF(E$7=Inputs!$C$23,$C$137,0)</f>
        <v>-0</v>
      </c>
      <c r="F38" s="17" t="n">
        <f aca="false">-IF(F$7=Inputs!$C$23,$C$137,0)</f>
        <v>-0</v>
      </c>
      <c r="G38" s="17" t="n">
        <f aca="false">-IF(G$7=Inputs!$C$23,$C$137,0)</f>
        <v>-0</v>
      </c>
      <c r="H38" s="17" t="n">
        <f aca="false">-IF(H$7=Inputs!$C$23,$C$137,0)</f>
        <v>-0</v>
      </c>
      <c r="I38" s="15" t="s">
        <v>297</v>
      </c>
    </row>
    <row r="39" customFormat="false" ht="15" hidden="false" customHeight="false" outlineLevel="0" collapsed="false">
      <c r="A39" s="5" t="s">
        <v>298</v>
      </c>
      <c r="B39" s="14" t="s">
        <v>38</v>
      </c>
      <c r="D39" s="17" t="n">
        <f aca="false">-(IF(AND(INDEX(Inputs!$D$57:$F$57,$C$3)=1,D$7=Inputs!$D$74),Inputs!$D$86,0)+IF(AND(INDEX(Inputs!$D$58:$F$58,$C$3)=1,D$7=Inputs!$E$74),Inputs!$E$86,0))</f>
        <v>-0</v>
      </c>
      <c r="E39" s="17" t="n">
        <f aca="false">-(IF(AND(INDEX(Inputs!$D$57:$F$57,$C$3)=1,E$7=Inputs!$D$74),Inputs!$D$86,0)+IF(AND(INDEX(Inputs!$D$58:$F$58,$C$3)=1,E$7=Inputs!$E$74),Inputs!$E$86,0))</f>
        <v>-50.7584</v>
      </c>
      <c r="F39" s="17" t="n">
        <f aca="false">-(IF(AND(INDEX(Inputs!$D$57:$F$57,$C$3)=1,F$7=Inputs!$D$74),Inputs!$D$86,0)+IF(AND(INDEX(Inputs!$D$58:$F$58,$C$3)=1,F$7=Inputs!$E$74),Inputs!$E$86,0))</f>
        <v>-37.08</v>
      </c>
      <c r="G39" s="17" t="n">
        <f aca="false">-(IF(AND(INDEX(Inputs!$D$57:$F$57,$C$3)=1,G$7=Inputs!$D$74),Inputs!$D$86,0)+IF(AND(INDEX(Inputs!$D$58:$F$58,$C$3)=1,G$7=Inputs!$E$74),Inputs!$E$86,0))</f>
        <v>-0</v>
      </c>
      <c r="H39" s="17" t="n">
        <f aca="false">-(IF(AND(INDEX(Inputs!$D$57:$F$57,$C$3)=1,H$7=Inputs!$D$74),Inputs!$D$86,0)+IF(AND(INDEX(Inputs!$D$58:$F$58,$C$3)=1,H$7=Inputs!$E$74),Inputs!$E$86,0))</f>
        <v>-0</v>
      </c>
    </row>
    <row r="40" customFormat="false" ht="15" hidden="false" customHeight="false" outlineLevel="0" collapsed="false">
      <c r="A40" s="1" t="s">
        <v>299</v>
      </c>
      <c r="B40" s="14" t="s">
        <v>38</v>
      </c>
      <c r="D40" s="33" t="n">
        <f aca="false">D37+D38+D39</f>
        <v>3.95671875</v>
      </c>
      <c r="E40" s="33" t="n">
        <f aca="false">E37+E38+E39</f>
        <v>-42.510905084375</v>
      </c>
      <c r="F40" s="33" t="n">
        <f aca="false">F37+F38+F39</f>
        <v>-20.4935063588203</v>
      </c>
      <c r="G40" s="33" t="n">
        <f aca="false">G37+G38+G39</f>
        <v>26.0820719153031</v>
      </c>
      <c r="H40" s="33" t="n">
        <f aca="false">H37+H38+H39</f>
        <v>32.8547192158323</v>
      </c>
    </row>
    <row r="41" customFormat="false" ht="15" hidden="false" customHeight="false" outlineLevel="0" collapsed="false">
      <c r="A41" s="34" t="s">
        <v>300</v>
      </c>
      <c r="B41" s="14" t="s">
        <v>54</v>
      </c>
      <c r="D41" s="35" t="n">
        <f aca="false">(D29+D31+D32+D33+D34)/D29</f>
        <v>0.631430584918957</v>
      </c>
      <c r="E41" s="35" t="n">
        <f aca="false">(E29+E31+E32+E33+E34)/E29</f>
        <v>0.675676995471899</v>
      </c>
      <c r="F41" s="35" t="n">
        <f aca="false">(F29+F31+F32+F33+F34)/F29</f>
        <v>0.716885223530748</v>
      </c>
      <c r="G41" s="35" t="n">
        <f aca="false">(G29+G31+G32+G33+G34)/G29</f>
        <v>0.753730550212239</v>
      </c>
      <c r="H41" s="35" t="n">
        <f aca="false">(H29+H31+H32+H33+H34)/H29</f>
        <v>0.76012790420237</v>
      </c>
    </row>
    <row r="43" customFormat="false" ht="15" hidden="false" customHeight="false" outlineLevel="0" collapsed="false">
      <c r="A43" s="3" t="s">
        <v>301</v>
      </c>
      <c r="B43" s="4"/>
      <c r="C43" s="4"/>
      <c r="D43" s="4"/>
      <c r="E43" s="4"/>
      <c r="F43" s="4"/>
      <c r="G43" s="4"/>
      <c r="H43" s="4"/>
      <c r="I43" s="4"/>
    </row>
    <row r="44" customFormat="false" ht="15" hidden="false" customHeight="false" outlineLevel="0" collapsed="false">
      <c r="A44" s="5" t="s">
        <v>287</v>
      </c>
      <c r="B44" s="14" t="s">
        <v>38</v>
      </c>
      <c r="D44" s="17" t="n">
        <f aca="false">D24</f>
        <v>44.34375</v>
      </c>
      <c r="E44" s="17" t="n">
        <f aca="false">E24</f>
        <v>56.315</v>
      </c>
      <c r="F44" s="17" t="n">
        <f aca="false">F24</f>
        <v>67.65781175</v>
      </c>
      <c r="G44" s="17" t="n">
        <f aca="false">G24</f>
        <v>75.45413609875</v>
      </c>
      <c r="H44" s="17" t="n">
        <f aca="false">H24</f>
        <v>82.7598379242</v>
      </c>
    </row>
    <row r="45" customFormat="false" ht="15" hidden="false" customHeight="false" outlineLevel="0" collapsed="false">
      <c r="A45" s="5" t="s">
        <v>288</v>
      </c>
      <c r="B45" s="14" t="s">
        <v>38</v>
      </c>
      <c r="D45" s="17" t="n">
        <f aca="false">D30</f>
        <v>-0</v>
      </c>
      <c r="E45" s="17" t="n">
        <f aca="false">E30</f>
        <v>-2.5</v>
      </c>
      <c r="F45" s="17" t="n">
        <f aca="false">F30</f>
        <v>-1.5</v>
      </c>
      <c r="G45" s="17" t="n">
        <f aca="false">G30</f>
        <v>-0</v>
      </c>
      <c r="H45" s="17" t="n">
        <f aca="false">H30</f>
        <v>-0</v>
      </c>
    </row>
    <row r="46" customFormat="false" ht="15" hidden="false" customHeight="false" outlineLevel="0" collapsed="false">
      <c r="A46" s="5" t="s">
        <v>302</v>
      </c>
      <c r="B46" s="14" t="s">
        <v>38</v>
      </c>
      <c r="D46" s="17" t="n">
        <f aca="false">-D14*Inputs!$C$62</f>
        <v>-8.0625</v>
      </c>
      <c r="E46" s="17" t="n">
        <f aca="false">-E14*Inputs!$C$62</f>
        <v>-10.1635</v>
      </c>
      <c r="F46" s="17" t="n">
        <f aca="false">-F14*Inputs!$C$62</f>
        <v>-11.9698775</v>
      </c>
      <c r="G46" s="17" t="n">
        <f aca="false">-G14*Inputs!$C$62</f>
        <v>-12.9544562875</v>
      </c>
      <c r="H46" s="17" t="n">
        <f aca="false">-H14*Inputs!$C$62</f>
        <v>-13.9729788065</v>
      </c>
    </row>
    <row r="47" customFormat="false" ht="15" hidden="false" customHeight="false" outlineLevel="0" collapsed="false">
      <c r="A47" s="1" t="s">
        <v>303</v>
      </c>
      <c r="B47" s="14" t="s">
        <v>38</v>
      </c>
      <c r="D47" s="33" t="n">
        <f aca="false">SUM(D44:D46)</f>
        <v>36.28125</v>
      </c>
      <c r="E47" s="33" t="n">
        <f aca="false">SUM(E44:E46)</f>
        <v>43.6515</v>
      </c>
      <c r="F47" s="33" t="n">
        <f aca="false">SUM(F44:F46)</f>
        <v>54.18793425</v>
      </c>
      <c r="G47" s="33" t="n">
        <f aca="false">SUM(G44:G46)</f>
        <v>62.49967981125</v>
      </c>
      <c r="H47" s="33" t="n">
        <f aca="false">SUM(H44:H46)</f>
        <v>68.7868591177</v>
      </c>
    </row>
    <row r="48" customFormat="false" ht="15" hidden="false" customHeight="false" outlineLevel="0" collapsed="false">
      <c r="A48" s="5" t="s">
        <v>295</v>
      </c>
      <c r="B48" s="14" t="s">
        <v>38</v>
      </c>
      <c r="D48" s="17" t="n">
        <f aca="false">D86</f>
        <v>18.29875</v>
      </c>
      <c r="E48" s="17" t="n">
        <f aca="false">E86</f>
        <v>20.614005084375</v>
      </c>
      <c r="F48" s="17" t="n">
        <f aca="false">F86</f>
        <v>21.9437441775703</v>
      </c>
      <c r="G48" s="17" t="n">
        <f aca="false">G86</f>
        <v>20.8241558567907</v>
      </c>
      <c r="H48" s="17" t="n">
        <f aca="false">H86</f>
        <v>19.0636160025077</v>
      </c>
    </row>
    <row r="49" customFormat="false" ht="15" hidden="false" customHeight="false" outlineLevel="0" collapsed="false">
      <c r="A49" s="5" t="s">
        <v>304</v>
      </c>
      <c r="B49" s="14" t="s">
        <v>38</v>
      </c>
      <c r="D49" s="17" t="n">
        <f aca="false">MAX(Inputs!$C$69,Inputs!$C$68*D44)</f>
        <v>13.303125</v>
      </c>
      <c r="E49" s="17" t="n">
        <f aca="false">MAX(Inputs!$C$69,Inputs!$C$68*E44)</f>
        <v>16.8945</v>
      </c>
      <c r="F49" s="17" t="n">
        <f aca="false">MAX(Inputs!$C$69,Inputs!$C$68*F44)</f>
        <v>20.297343525</v>
      </c>
      <c r="G49" s="17" t="n">
        <f aca="false">MAX(Inputs!$C$69,Inputs!$C$68*G44)</f>
        <v>22.636240829625</v>
      </c>
      <c r="H49" s="17" t="n">
        <f aca="false">MAX(Inputs!$C$69,Inputs!$C$68*H44)</f>
        <v>24.82795137726</v>
      </c>
      <c r="I49" s="15" t="s">
        <v>305</v>
      </c>
    </row>
    <row r="50" customFormat="false" ht="15" hidden="false" customHeight="false" outlineLevel="0" collapsed="false">
      <c r="A50" s="5" t="s">
        <v>306</v>
      </c>
      <c r="B50" s="14" t="s">
        <v>38</v>
      </c>
      <c r="D50" s="17" t="n">
        <f aca="false">C52</f>
        <v>0</v>
      </c>
      <c r="E50" s="17" t="n">
        <f aca="false">D52</f>
        <v>4.995625</v>
      </c>
      <c r="F50" s="17" t="n">
        <f aca="false">E52</f>
        <v>8.71513008437501</v>
      </c>
      <c r="G50" s="17" t="n">
        <f aca="false">F52</f>
        <v>10.3615307369453</v>
      </c>
      <c r="H50" s="17" t="n">
        <f aca="false">G52</f>
        <v>8.54944576411101</v>
      </c>
    </row>
    <row r="51" customFormat="false" ht="15" hidden="false" customHeight="false" outlineLevel="0" collapsed="false">
      <c r="A51" s="5" t="s">
        <v>307</v>
      </c>
      <c r="B51" s="14" t="s">
        <v>38</v>
      </c>
      <c r="D51" s="17" t="n">
        <f aca="false">MAX(0,MIN(D48+D50,D49))</f>
        <v>13.303125</v>
      </c>
      <c r="E51" s="17" t="n">
        <f aca="false">MAX(0,MIN(E48+E50,E49))</f>
        <v>16.8945</v>
      </c>
      <c r="F51" s="17" t="n">
        <f aca="false">MAX(0,MIN(F48+F50,F49))</f>
        <v>20.297343525</v>
      </c>
      <c r="G51" s="17" t="n">
        <f aca="false">MAX(0,MIN(G48+G50,G49))</f>
        <v>22.636240829625</v>
      </c>
      <c r="H51" s="17" t="n">
        <f aca="false">MAX(0,MIN(H48+H50,H49))</f>
        <v>24.82795137726</v>
      </c>
    </row>
    <row r="52" customFormat="false" ht="15" hidden="false" customHeight="false" outlineLevel="0" collapsed="false">
      <c r="A52" s="5" t="s">
        <v>308</v>
      </c>
      <c r="B52" s="14" t="s">
        <v>38</v>
      </c>
      <c r="C52" s="19" t="n">
        <v>0</v>
      </c>
      <c r="D52" s="17" t="n">
        <f aca="false">MAX(0,D48+D50-D51)</f>
        <v>4.995625</v>
      </c>
      <c r="E52" s="17" t="n">
        <f aca="false">MAX(0,E48+E50-E51)</f>
        <v>8.71513008437501</v>
      </c>
      <c r="F52" s="17" t="n">
        <f aca="false">MAX(0,F48+F50-F51)</f>
        <v>10.3615307369453</v>
      </c>
      <c r="G52" s="17" t="n">
        <f aca="false">MAX(0,G48+G50-G51)</f>
        <v>8.54944576411101</v>
      </c>
      <c r="H52" s="17" t="n">
        <f aca="false">MAX(0,H48+H50-H51)</f>
        <v>2.78511038935874</v>
      </c>
    </row>
    <row r="53" customFormat="false" ht="15" hidden="false" customHeight="false" outlineLevel="0" collapsed="false">
      <c r="A53" s="5" t="s">
        <v>309</v>
      </c>
      <c r="B53" s="14" t="s">
        <v>38</v>
      </c>
      <c r="D53" s="17" t="n">
        <f aca="false">MAX(0,D47-D51)</f>
        <v>22.978125</v>
      </c>
      <c r="E53" s="17" t="n">
        <f aca="false">MAX(0,E47-E51)</f>
        <v>26.757</v>
      </c>
      <c r="F53" s="17" t="n">
        <f aca="false">MAX(0,F47-F51)</f>
        <v>33.890590725</v>
      </c>
      <c r="G53" s="17" t="n">
        <f aca="false">MAX(0,G47-G51)</f>
        <v>39.863438981625</v>
      </c>
      <c r="H53" s="17" t="n">
        <f aca="false">MAX(0,H47-H51)</f>
        <v>43.95890774044</v>
      </c>
    </row>
    <row r="54" customFormat="false" ht="15" hidden="false" customHeight="false" outlineLevel="0" collapsed="false">
      <c r="A54" s="1" t="s">
        <v>310</v>
      </c>
      <c r="B54" s="14" t="s">
        <v>38</v>
      </c>
      <c r="D54" s="33" t="n">
        <f aca="false">D53*Inputs!$C$67</f>
        <v>5.74453125</v>
      </c>
      <c r="E54" s="33" t="n">
        <f aca="false">E53*Inputs!$C$67</f>
        <v>6.68925</v>
      </c>
      <c r="F54" s="33" t="n">
        <f aca="false">F53*Inputs!$C$67</f>
        <v>8.47264768125</v>
      </c>
      <c r="G54" s="33" t="n">
        <f aca="false">G53*Inputs!$C$67</f>
        <v>9.96585974540625</v>
      </c>
      <c r="H54" s="33" t="n">
        <f aca="false">H53*Inputs!$C$67</f>
        <v>10.98972693511</v>
      </c>
    </row>
    <row r="56" customFormat="false" ht="15" hidden="false" customHeight="false" outlineLevel="0" collapsed="false">
      <c r="A56" s="3" t="s">
        <v>311</v>
      </c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false" outlineLevel="0" collapsed="false">
      <c r="A57" s="5" t="s">
        <v>202</v>
      </c>
      <c r="B57" s="14" t="s">
        <v>38</v>
      </c>
      <c r="C57" s="17" t="n">
        <f aca="false">C14*Inputs!$C$66</f>
        <v>33</v>
      </c>
      <c r="D57" s="17" t="n">
        <f aca="false">D14*Inputs!$C$66</f>
        <v>35.475</v>
      </c>
      <c r="E57" s="17" t="n">
        <f aca="false">E14*Inputs!$C$66</f>
        <v>44.7194</v>
      </c>
      <c r="F57" s="17" t="n">
        <f aca="false">F14*Inputs!$C$66</f>
        <v>52.667461</v>
      </c>
      <c r="G57" s="17" t="n">
        <f aca="false">G14*Inputs!$C$66</f>
        <v>56.999607665</v>
      </c>
      <c r="H57" s="17" t="n">
        <f aca="false">H14*Inputs!$C$66</f>
        <v>61.4811067486</v>
      </c>
    </row>
    <row r="58" customFormat="false" ht="15" hidden="false" customHeight="false" outlineLevel="0" collapsed="false">
      <c r="A58" s="5" t="s">
        <v>312</v>
      </c>
      <c r="B58" s="14" t="s">
        <v>38</v>
      </c>
      <c r="D58" s="17" t="n">
        <f aca="false">(IF(AND(INDEX(Inputs!$D$57:$F$57,$C$3)=1,D$7=Inputs!$D$74),Inputs!$D$75,0)+IF(AND(INDEX(Inputs!$D$58:$F$58,$C$3)=1,D$7=Inputs!$E$74),Inputs!$E$75,0))*Inputs!$C$66</f>
        <v>0</v>
      </c>
      <c r="E58" s="17" t="n">
        <f aca="false">(IF(AND(INDEX(Inputs!$D$57:$F$57,$C$3)=1,E$7=Inputs!$D$74),Inputs!$D$75,0)+IF(AND(INDEX(Inputs!$D$58:$F$58,$C$3)=1,E$7=Inputs!$E$74),Inputs!$E$75,0))*Inputs!$C$66</f>
        <v>6.16</v>
      </c>
      <c r="F58" s="17" t="n">
        <f aca="false">(IF(AND(INDEX(Inputs!$D$57:$F$57,$C$3)=1,F$7=Inputs!$D$74),Inputs!$D$75,0)+IF(AND(INDEX(Inputs!$D$58:$F$58,$C$3)=1,F$7=Inputs!$E$74),Inputs!$E$75,0))*Inputs!$C$66</f>
        <v>3.96</v>
      </c>
      <c r="G58" s="17" t="n">
        <f aca="false">(IF(AND(INDEX(Inputs!$D$57:$F$57,$C$3)=1,G$7=Inputs!$D$74),Inputs!$D$75,0)+IF(AND(INDEX(Inputs!$D$58:$F$58,$C$3)=1,G$7=Inputs!$E$74),Inputs!$E$75,0))*Inputs!$C$66</f>
        <v>0</v>
      </c>
      <c r="H58" s="17" t="n">
        <f aca="false">(IF(AND(INDEX(Inputs!$D$57:$F$57,$C$3)=1,H$7=Inputs!$D$74),Inputs!$D$75,0)+IF(AND(INDEX(Inputs!$D$58:$F$58,$C$3)=1,H$7=Inputs!$E$74),Inputs!$E$75,0))*Inputs!$C$66</f>
        <v>0</v>
      </c>
    </row>
    <row r="60" customFormat="false" ht="15" hidden="false" customHeight="false" outlineLevel="0" collapsed="false">
      <c r="A60" s="3" t="s">
        <v>313</v>
      </c>
      <c r="B60" s="4"/>
      <c r="C60" s="4"/>
      <c r="D60" s="4"/>
      <c r="E60" s="4"/>
      <c r="F60" s="4"/>
      <c r="G60" s="4"/>
      <c r="H60" s="4"/>
      <c r="I60" s="4"/>
    </row>
    <row r="61" customFormat="false" ht="15" hidden="false" customHeight="false" outlineLevel="0" collapsed="false">
      <c r="A61" s="5" t="s">
        <v>314</v>
      </c>
      <c r="B61" s="14" t="s">
        <v>38</v>
      </c>
      <c r="D61" s="17" t="n">
        <f aca="false">C63</f>
        <v>240</v>
      </c>
      <c r="E61" s="17" t="n">
        <f aca="false">D63</f>
        <v>236.04328125</v>
      </c>
      <c r="F61" s="17" t="n">
        <f aca="false">E63</f>
        <v>227.795786334375</v>
      </c>
      <c r="G61" s="17" t="n">
        <f aca="false">F63</f>
        <v>211.209292693195</v>
      </c>
      <c r="H61" s="17" t="n">
        <f aca="false">G63</f>
        <v>185.127220777892</v>
      </c>
    </row>
    <row r="62" customFormat="false" ht="15" hidden="false" customHeight="false" outlineLevel="0" collapsed="false">
      <c r="A62" s="5" t="s">
        <v>315</v>
      </c>
      <c r="B62" s="14" t="s">
        <v>38</v>
      </c>
      <c r="D62" s="17" t="n">
        <f aca="false">D77</f>
        <v>-3.95671875</v>
      </c>
      <c r="E62" s="17" t="n">
        <f aca="false">E77</f>
        <v>-8.247494915625</v>
      </c>
      <c r="F62" s="17" t="n">
        <f aca="false">F77</f>
        <v>-16.5864936411797</v>
      </c>
      <c r="G62" s="17" t="n">
        <f aca="false">G77</f>
        <v>-26.0820719153031</v>
      </c>
      <c r="H62" s="17" t="n">
        <f aca="false">H77</f>
        <v>-32.8547192158323</v>
      </c>
    </row>
    <row r="63" customFormat="false" ht="15" hidden="false" customHeight="false" outlineLevel="0" collapsed="false">
      <c r="A63" s="1" t="s">
        <v>316</v>
      </c>
      <c r="B63" s="14" t="s">
        <v>38</v>
      </c>
      <c r="C63" s="44" t="n">
        <f aca="false">Inputs!$C$29</f>
        <v>240</v>
      </c>
      <c r="D63" s="33" t="n">
        <f aca="false">D61+D62</f>
        <v>236.04328125</v>
      </c>
      <c r="E63" s="33" t="n">
        <f aca="false">E61+E62</f>
        <v>227.795786334375</v>
      </c>
      <c r="F63" s="33" t="n">
        <f aca="false">F61+F62</f>
        <v>211.209292693195</v>
      </c>
      <c r="G63" s="33" t="n">
        <f aca="false">G61+G62</f>
        <v>185.127220777892</v>
      </c>
      <c r="H63" s="33" t="n">
        <f aca="false">H61+H62</f>
        <v>152.27250156206</v>
      </c>
    </row>
    <row r="64" customFormat="false" ht="15" hidden="false" customHeight="false" outlineLevel="0" collapsed="false">
      <c r="A64" s="5" t="s">
        <v>317</v>
      </c>
      <c r="B64" s="14" t="s">
        <v>38</v>
      </c>
      <c r="D64" s="17" t="n">
        <f aca="false">C66</f>
        <v>0</v>
      </c>
      <c r="E64" s="17" t="n">
        <f aca="false">D66</f>
        <v>0</v>
      </c>
      <c r="F64" s="17" t="n">
        <f aca="false">E66</f>
        <v>50.7584</v>
      </c>
      <c r="G64" s="17" t="n">
        <f aca="false">F66</f>
        <v>87.8384</v>
      </c>
      <c r="H64" s="17" t="n">
        <f aca="false">G66</f>
        <v>87.8384</v>
      </c>
    </row>
    <row r="65" customFormat="false" ht="15" hidden="false" customHeight="false" outlineLevel="0" collapsed="false">
      <c r="A65" s="5" t="s">
        <v>318</v>
      </c>
      <c r="B65" s="14" t="s">
        <v>38</v>
      </c>
      <c r="D65" s="17" t="n">
        <f aca="false">MIN(-D39,Inputs!$C$31-D64)</f>
        <v>0</v>
      </c>
      <c r="E65" s="17" t="n">
        <f aca="false">MIN(-E39,Inputs!$C$31-E64)</f>
        <v>50.7584</v>
      </c>
      <c r="F65" s="17" t="n">
        <f aca="false">MIN(-F39,Inputs!$C$31-F64)</f>
        <v>37.08</v>
      </c>
      <c r="G65" s="17" t="n">
        <f aca="false">MIN(-G39,Inputs!$C$31-G64)</f>
        <v>0</v>
      </c>
      <c r="H65" s="17" t="n">
        <f aca="false">MIN(-H39,Inputs!$C$31-H64)</f>
        <v>0</v>
      </c>
      <c r="I65" s="15" t="s">
        <v>319</v>
      </c>
    </row>
    <row r="66" customFormat="false" ht="15" hidden="false" customHeight="false" outlineLevel="0" collapsed="false">
      <c r="A66" s="1" t="s">
        <v>320</v>
      </c>
      <c r="B66" s="14" t="s">
        <v>38</v>
      </c>
      <c r="C66" s="45" t="n">
        <v>0</v>
      </c>
      <c r="D66" s="33" t="n">
        <f aca="false">D64+D65</f>
        <v>0</v>
      </c>
      <c r="E66" s="33" t="n">
        <f aca="false">E64+E65</f>
        <v>50.7584</v>
      </c>
      <c r="F66" s="33" t="n">
        <f aca="false">F64+F65</f>
        <v>87.8384</v>
      </c>
      <c r="G66" s="33" t="n">
        <f aca="false">G64+G65</f>
        <v>87.8384</v>
      </c>
      <c r="H66" s="33" t="n">
        <f aca="false">H64+H65</f>
        <v>87.8384</v>
      </c>
    </row>
    <row r="67" customFormat="false" ht="15" hidden="false" customHeight="false" outlineLevel="0" collapsed="false">
      <c r="A67" s="5" t="s">
        <v>321</v>
      </c>
      <c r="B67" s="14" t="s">
        <v>38</v>
      </c>
      <c r="D67" s="17" t="n">
        <f aca="false">C70</f>
        <v>0</v>
      </c>
      <c r="E67" s="17" t="n">
        <f aca="false">D70</f>
        <v>0</v>
      </c>
      <c r="F67" s="17" t="n">
        <f aca="false">E70</f>
        <v>0</v>
      </c>
      <c r="G67" s="17" t="n">
        <f aca="false">F70</f>
        <v>0</v>
      </c>
      <c r="H67" s="17" t="n">
        <f aca="false">G70</f>
        <v>0</v>
      </c>
    </row>
    <row r="68" customFormat="false" ht="15" hidden="false" customHeight="false" outlineLevel="0" collapsed="false">
      <c r="A68" s="5" t="s">
        <v>322</v>
      </c>
      <c r="B68" s="14" t="s">
        <v>38</v>
      </c>
      <c r="D68" s="17" t="n">
        <f aca="false">MIN(MAX(0,Inputs!$C$17-D74),Inputs!$C$32-D67)</f>
        <v>0</v>
      </c>
      <c r="E68" s="17" t="n">
        <f aca="false">MIN(MAX(0,Inputs!$C$17-E74),Inputs!$C$32-E67)</f>
        <v>0</v>
      </c>
      <c r="F68" s="17" t="n">
        <f aca="false">MIN(MAX(0,Inputs!$C$17-F74),Inputs!$C$32-F67)</f>
        <v>0</v>
      </c>
      <c r="G68" s="17" t="n">
        <f aca="false">MIN(MAX(0,Inputs!$C$17-G74),Inputs!$C$32-G67)</f>
        <v>0</v>
      </c>
      <c r="H68" s="17" t="n">
        <f aca="false">MIN(MAX(0,Inputs!$C$17-H74),Inputs!$C$32-H67)</f>
        <v>0</v>
      </c>
    </row>
    <row r="69" customFormat="false" ht="15" hidden="false" customHeight="false" outlineLevel="0" collapsed="false">
      <c r="A69" s="5" t="s">
        <v>323</v>
      </c>
      <c r="B69" s="14" t="s">
        <v>38</v>
      </c>
      <c r="D69" s="17" t="n">
        <f aca="false">-MIN(D67,MAX(0,D74-Inputs!$C$17))</f>
        <v>-0</v>
      </c>
      <c r="E69" s="17" t="n">
        <f aca="false">-MIN(E67,MAX(0,E74-Inputs!$C$17))</f>
        <v>-0</v>
      </c>
      <c r="F69" s="17" t="n">
        <f aca="false">-MIN(F67,MAX(0,F74-Inputs!$C$17))</f>
        <v>-0</v>
      </c>
      <c r="G69" s="17" t="n">
        <f aca="false">-MIN(G67,MAX(0,G74-Inputs!$C$17))</f>
        <v>-0</v>
      </c>
      <c r="H69" s="17" t="n">
        <f aca="false">-MIN(H67,MAX(0,H74-Inputs!$C$17))</f>
        <v>-0</v>
      </c>
    </row>
    <row r="70" customFormat="false" ht="15" hidden="false" customHeight="false" outlineLevel="0" collapsed="false">
      <c r="A70" s="1" t="s">
        <v>324</v>
      </c>
      <c r="B70" s="14" t="s">
        <v>38</v>
      </c>
      <c r="C70" s="45" t="n">
        <v>0</v>
      </c>
      <c r="D70" s="33" t="n">
        <f aca="false">D67+D68+D69</f>
        <v>0</v>
      </c>
      <c r="E70" s="33" t="n">
        <f aca="false">E67+E68+E69</f>
        <v>0</v>
      </c>
      <c r="F70" s="33" t="n">
        <f aca="false">F67+F68+F69</f>
        <v>0</v>
      </c>
      <c r="G70" s="33" t="n">
        <f aca="false">G67+G68+G69</f>
        <v>0</v>
      </c>
      <c r="H70" s="33" t="n">
        <f aca="false">H67+H68+H69</f>
        <v>0</v>
      </c>
    </row>
    <row r="71" customFormat="false" ht="15" hidden="false" customHeight="false" outlineLevel="0" collapsed="false">
      <c r="A71" s="5" t="s">
        <v>325</v>
      </c>
      <c r="B71" s="14" t="s">
        <v>38</v>
      </c>
      <c r="D71" s="17" t="n">
        <f aca="false">C78</f>
        <v>10</v>
      </c>
      <c r="E71" s="17" t="n">
        <f aca="false">D78</f>
        <v>10</v>
      </c>
      <c r="F71" s="17" t="n">
        <f aca="false">E78</f>
        <v>10</v>
      </c>
      <c r="G71" s="17" t="n">
        <f aca="false">F78</f>
        <v>10</v>
      </c>
      <c r="H71" s="17" t="n">
        <f aca="false">G78</f>
        <v>10</v>
      </c>
    </row>
    <row r="72" customFormat="false" ht="15" hidden="false" customHeight="false" outlineLevel="0" collapsed="false">
      <c r="A72" s="5" t="s">
        <v>299</v>
      </c>
      <c r="B72" s="14" t="s">
        <v>38</v>
      </c>
      <c r="D72" s="17" t="n">
        <f aca="false">D40</f>
        <v>3.95671875</v>
      </c>
      <c r="E72" s="17" t="n">
        <f aca="false">E40</f>
        <v>-42.510905084375</v>
      </c>
      <c r="F72" s="17" t="n">
        <f aca="false">F40</f>
        <v>-20.4935063588203</v>
      </c>
      <c r="G72" s="17" t="n">
        <f aca="false">G40</f>
        <v>26.0820719153031</v>
      </c>
      <c r="H72" s="17" t="n">
        <f aca="false">H40</f>
        <v>32.8547192158323</v>
      </c>
    </row>
    <row r="73" customFormat="false" ht="15" hidden="false" customHeight="false" outlineLevel="0" collapsed="false">
      <c r="A73" s="5" t="s">
        <v>326</v>
      </c>
      <c r="B73" s="14" t="s">
        <v>38</v>
      </c>
      <c r="D73" s="17" t="n">
        <f aca="false">D65</f>
        <v>0</v>
      </c>
      <c r="E73" s="17" t="n">
        <f aca="false">E65</f>
        <v>50.7584</v>
      </c>
      <c r="F73" s="17" t="n">
        <f aca="false">F65</f>
        <v>37.08</v>
      </c>
      <c r="G73" s="17" t="n">
        <f aca="false">G65</f>
        <v>0</v>
      </c>
      <c r="H73" s="17" t="n">
        <f aca="false">H65</f>
        <v>0</v>
      </c>
    </row>
    <row r="74" customFormat="false" ht="15" hidden="false" customHeight="false" outlineLevel="0" collapsed="false">
      <c r="A74" s="1" t="s">
        <v>327</v>
      </c>
      <c r="B74" s="14" t="s">
        <v>38</v>
      </c>
      <c r="D74" s="33" t="n">
        <f aca="false">D71+D72+D73</f>
        <v>13.95671875</v>
      </c>
      <c r="E74" s="33" t="n">
        <f aca="false">E71+E72+E73</f>
        <v>18.247494915625</v>
      </c>
      <c r="F74" s="33" t="n">
        <f aca="false">F71+F72+F73</f>
        <v>26.5864936411797</v>
      </c>
      <c r="G74" s="33" t="n">
        <f aca="false">G71+G72+G73</f>
        <v>36.0820719153031</v>
      </c>
      <c r="H74" s="33" t="n">
        <f aca="false">H71+H72+H73</f>
        <v>42.8547192158323</v>
      </c>
    </row>
    <row r="75" customFormat="false" ht="15" hidden="false" customHeight="false" outlineLevel="0" collapsed="false">
      <c r="A75" s="5" t="s">
        <v>328</v>
      </c>
      <c r="B75" s="14" t="s">
        <v>38</v>
      </c>
      <c r="D75" s="17" t="n">
        <f aca="false">D68+D69</f>
        <v>0</v>
      </c>
      <c r="E75" s="17" t="n">
        <f aca="false">E68+E69</f>
        <v>0</v>
      </c>
      <c r="F75" s="17" t="n">
        <f aca="false">F68+F69</f>
        <v>0</v>
      </c>
      <c r="G75" s="17" t="n">
        <f aca="false">G68+G69</f>
        <v>0</v>
      </c>
      <c r="H75" s="17" t="n">
        <f aca="false">H68+H69</f>
        <v>0</v>
      </c>
    </row>
    <row r="76" customFormat="false" ht="15" hidden="false" customHeight="false" outlineLevel="0" collapsed="false">
      <c r="A76" s="1" t="s">
        <v>329</v>
      </c>
      <c r="B76" s="14" t="s">
        <v>38</v>
      </c>
      <c r="D76" s="33" t="n">
        <f aca="false">D74+D75</f>
        <v>13.95671875</v>
      </c>
      <c r="E76" s="33" t="n">
        <f aca="false">E74+E75</f>
        <v>18.247494915625</v>
      </c>
      <c r="F76" s="33" t="n">
        <f aca="false">F74+F75</f>
        <v>26.5864936411797</v>
      </c>
      <c r="G76" s="33" t="n">
        <f aca="false">G74+G75</f>
        <v>36.0820719153031</v>
      </c>
      <c r="H76" s="33" t="n">
        <f aca="false">H74+H75</f>
        <v>42.8547192158323</v>
      </c>
    </row>
    <row r="77" customFormat="false" ht="15" hidden="false" customHeight="false" outlineLevel="0" collapsed="false">
      <c r="A77" s="5" t="s">
        <v>330</v>
      </c>
      <c r="B77" s="14" t="s">
        <v>38</v>
      </c>
      <c r="D77" s="17" t="n">
        <f aca="false">-MIN(D61,MAX(0,D76-Inputs!$C$17)*Inputs!$C$40)</f>
        <v>-3.95671875</v>
      </c>
      <c r="E77" s="17" t="n">
        <f aca="false">-MIN(E61,MAX(0,E76-Inputs!$C$17)*Inputs!$C$40)</f>
        <v>-8.247494915625</v>
      </c>
      <c r="F77" s="17" t="n">
        <f aca="false">-MIN(F61,MAX(0,F76-Inputs!$C$17)*Inputs!$C$40)</f>
        <v>-16.5864936411797</v>
      </c>
      <c r="G77" s="17" t="n">
        <f aca="false">-MIN(G61,MAX(0,G76-Inputs!$C$17)*Inputs!$C$40)</f>
        <v>-26.0820719153031</v>
      </c>
      <c r="H77" s="17" t="n">
        <f aca="false">-MIN(H61,MAX(0,H76-Inputs!$C$17)*Inputs!$C$40)</f>
        <v>-32.8547192158323</v>
      </c>
      <c r="I77" s="15" t="s">
        <v>331</v>
      </c>
    </row>
    <row r="78" customFormat="false" ht="15" hidden="false" customHeight="false" outlineLevel="0" collapsed="false">
      <c r="A78" s="1" t="s">
        <v>332</v>
      </c>
      <c r="B78" s="14" t="s">
        <v>38</v>
      </c>
      <c r="C78" s="44" t="n">
        <f aca="false">Inputs!$C$17</f>
        <v>10</v>
      </c>
      <c r="D78" s="33" t="n">
        <f aca="false">D76+D77</f>
        <v>10</v>
      </c>
      <c r="E78" s="33" t="n">
        <f aca="false">E76+E77</f>
        <v>10</v>
      </c>
      <c r="F78" s="33" t="n">
        <f aca="false">F76+F77</f>
        <v>10</v>
      </c>
      <c r="G78" s="33" t="n">
        <f aca="false">G76+G77</f>
        <v>10</v>
      </c>
      <c r="H78" s="33" t="n">
        <f aca="false">H76+H77</f>
        <v>10</v>
      </c>
    </row>
    <row r="80" customFormat="false" ht="15" hidden="false" customHeight="false" outlineLevel="0" collapsed="false">
      <c r="A80" s="3" t="s">
        <v>333</v>
      </c>
      <c r="B80" s="4"/>
      <c r="C80" s="4"/>
      <c r="D80" s="4"/>
      <c r="E80" s="4"/>
      <c r="F80" s="4"/>
      <c r="G80" s="4"/>
      <c r="H80" s="4"/>
      <c r="I80" s="4"/>
    </row>
    <row r="81" customFormat="false" ht="15" hidden="false" customHeight="false" outlineLevel="0" collapsed="false">
      <c r="A81" s="5" t="s">
        <v>334</v>
      </c>
      <c r="B81" s="14" t="s">
        <v>38</v>
      </c>
      <c r="D81" s="17" t="n">
        <f aca="false">D61*(Inputs!$C$34+Inputs!$C$35)</f>
        <v>16.2</v>
      </c>
      <c r="E81" s="17" t="n">
        <f aca="false">E61*(Inputs!$C$34+Inputs!$C$35)</f>
        <v>15.932921484375</v>
      </c>
      <c r="F81" s="17" t="n">
        <f aca="false">F61*(Inputs!$C$34+Inputs!$C$35)</f>
        <v>15.3762155775703</v>
      </c>
      <c r="G81" s="17" t="n">
        <f aca="false">G61*(Inputs!$C$34+Inputs!$C$35)</f>
        <v>14.2566272567907</v>
      </c>
      <c r="H81" s="17" t="n">
        <f aca="false">H61*(Inputs!$C$34+Inputs!$C$35)</f>
        <v>12.4960874025077</v>
      </c>
    </row>
    <row r="82" customFormat="false" ht="15" hidden="false" customHeight="false" outlineLevel="0" collapsed="false">
      <c r="A82" s="5" t="s">
        <v>335</v>
      </c>
      <c r="B82" s="14" t="s">
        <v>38</v>
      </c>
      <c r="D82" s="17" t="n">
        <f aca="false">(D64+D65)*(Inputs!$C$34+Inputs!$C$36)</f>
        <v>0</v>
      </c>
      <c r="E82" s="17" t="n">
        <f aca="false">(E64+E65)*(Inputs!$C$34+Inputs!$C$36)</f>
        <v>3.426192</v>
      </c>
      <c r="F82" s="17" t="n">
        <f aca="false">(F64+F65)*(Inputs!$C$34+Inputs!$C$36)</f>
        <v>5.929092</v>
      </c>
      <c r="G82" s="17" t="n">
        <f aca="false">(G64+G65)*(Inputs!$C$34+Inputs!$C$36)</f>
        <v>5.929092</v>
      </c>
      <c r="H82" s="17" t="n">
        <f aca="false">(H64+H65)*(Inputs!$C$34+Inputs!$C$36)</f>
        <v>5.929092</v>
      </c>
    </row>
    <row r="83" customFormat="false" ht="15" hidden="false" customHeight="false" outlineLevel="0" collapsed="false">
      <c r="A83" s="5" t="s">
        <v>336</v>
      </c>
      <c r="B83" s="14" t="s">
        <v>38</v>
      </c>
      <c r="D83" s="17" t="n">
        <f aca="false">D67*(Inputs!$C$34+Inputs!$C$37)</f>
        <v>0</v>
      </c>
      <c r="E83" s="17" t="n">
        <f aca="false">E67*(Inputs!$C$34+Inputs!$C$37)</f>
        <v>0</v>
      </c>
      <c r="F83" s="17" t="n">
        <f aca="false">F67*(Inputs!$C$34+Inputs!$C$37)</f>
        <v>0</v>
      </c>
      <c r="G83" s="17" t="n">
        <f aca="false">G67*(Inputs!$C$34+Inputs!$C$37)</f>
        <v>0</v>
      </c>
      <c r="H83" s="17" t="n">
        <f aca="false">H67*(Inputs!$C$34+Inputs!$C$37)</f>
        <v>0</v>
      </c>
    </row>
    <row r="84" customFormat="false" ht="15" hidden="false" customHeight="false" outlineLevel="0" collapsed="false">
      <c r="A84" s="5" t="s">
        <v>337</v>
      </c>
      <c r="B84" s="14" t="s">
        <v>38</v>
      </c>
      <c r="D84" s="17" t="n">
        <f aca="false">Inputs!$C$38*(Inputs!$C$36*(Inputs!$C$31-D64-D65)+Inputs!$C$37*(Inputs!$C$32-D67))</f>
        <v>2.24875</v>
      </c>
      <c r="E84" s="17" t="n">
        <f aca="false">Inputs!$C$38*(Inputs!$C$36*(Inputs!$C$31-E64-E65)+Inputs!$C$37*(Inputs!$C$32-E67))</f>
        <v>1.4048916</v>
      </c>
      <c r="F84" s="17" t="n">
        <f aca="false">Inputs!$C$38*(Inputs!$C$36*(Inputs!$C$31-F64-F65)+Inputs!$C$37*(Inputs!$C$32-F67))</f>
        <v>0.7884366</v>
      </c>
      <c r="G84" s="17" t="n">
        <f aca="false">Inputs!$C$38*(Inputs!$C$36*(Inputs!$C$31-G64-G65)+Inputs!$C$37*(Inputs!$C$32-G67))</f>
        <v>0.7884366</v>
      </c>
      <c r="H84" s="17" t="n">
        <f aca="false">Inputs!$C$38*(Inputs!$C$36*(Inputs!$C$31-H64-H65)+Inputs!$C$37*(Inputs!$C$32-H67))</f>
        <v>0.7884366</v>
      </c>
    </row>
    <row r="85" customFormat="false" ht="15" hidden="false" customHeight="false" outlineLevel="0" collapsed="false">
      <c r="A85" s="5" t="s">
        <v>88</v>
      </c>
      <c r="B85" s="14" t="s">
        <v>38</v>
      </c>
      <c r="D85" s="17" t="n">
        <f aca="false">-D71*Inputs!$C$39</f>
        <v>-0.15</v>
      </c>
      <c r="E85" s="17" t="n">
        <f aca="false">-E71*Inputs!$C$39</f>
        <v>-0.15</v>
      </c>
      <c r="F85" s="17" t="n">
        <f aca="false">-F71*Inputs!$C$39</f>
        <v>-0.15</v>
      </c>
      <c r="G85" s="17" t="n">
        <f aca="false">-G71*Inputs!$C$39</f>
        <v>-0.15</v>
      </c>
      <c r="H85" s="17" t="n">
        <f aca="false">-H71*Inputs!$C$39</f>
        <v>-0.15</v>
      </c>
    </row>
    <row r="86" customFormat="false" ht="15" hidden="false" customHeight="false" outlineLevel="0" collapsed="false">
      <c r="A86" s="1" t="s">
        <v>295</v>
      </c>
      <c r="B86" s="14" t="s">
        <v>38</v>
      </c>
      <c r="D86" s="33" t="n">
        <f aca="false">SUM(D81:D85)</f>
        <v>18.29875</v>
      </c>
      <c r="E86" s="33" t="n">
        <f aca="false">SUM(E81:E85)</f>
        <v>20.614005084375</v>
      </c>
      <c r="F86" s="33" t="n">
        <f aca="false">SUM(F81:F85)</f>
        <v>21.9437441775703</v>
      </c>
      <c r="G86" s="33" t="n">
        <f aca="false">SUM(G81:G85)</f>
        <v>20.8241558567907</v>
      </c>
      <c r="H86" s="33" t="n">
        <f aca="false">SUM(H81:H85)</f>
        <v>19.0636160025077</v>
      </c>
    </row>
    <row r="88" customFormat="false" ht="15" hidden="false" customHeight="false" outlineLevel="0" collapsed="false">
      <c r="A88" s="3" t="s">
        <v>338</v>
      </c>
      <c r="B88" s="4"/>
      <c r="C88" s="4"/>
      <c r="D88" s="4"/>
      <c r="E88" s="4"/>
      <c r="F88" s="4"/>
      <c r="G88" s="4"/>
      <c r="H88" s="4"/>
      <c r="I88" s="4"/>
    </row>
    <row r="89" customFormat="false" ht="15" hidden="false" customHeight="false" outlineLevel="0" collapsed="false">
      <c r="A89" s="5" t="s">
        <v>339</v>
      </c>
      <c r="B89" s="14" t="s">
        <v>38</v>
      </c>
      <c r="C89" s="17" t="n">
        <f aca="false">C63+C66+C70</f>
        <v>240</v>
      </c>
      <c r="D89" s="17" t="n">
        <f aca="false">D63+D66+D70</f>
        <v>236.04328125</v>
      </c>
      <c r="E89" s="17" t="n">
        <f aca="false">E63+E66+E70</f>
        <v>278.554186334375</v>
      </c>
      <c r="F89" s="17" t="n">
        <f aca="false">F63+F66+F70</f>
        <v>299.047692693195</v>
      </c>
      <c r="G89" s="17" t="n">
        <f aca="false">G63+G66+G70</f>
        <v>272.965620777892</v>
      </c>
      <c r="H89" s="17" t="n">
        <f aca="false">H63+H66+H70</f>
        <v>240.11090156206</v>
      </c>
    </row>
    <row r="90" customFormat="false" ht="15" hidden="false" customHeight="false" outlineLevel="0" collapsed="false">
      <c r="A90" s="1" t="s">
        <v>340</v>
      </c>
      <c r="B90" s="14" t="s">
        <v>38</v>
      </c>
      <c r="C90" s="33" t="n">
        <f aca="false">C89-C78</f>
        <v>230</v>
      </c>
      <c r="D90" s="33" t="n">
        <f aca="false">D89-D78</f>
        <v>226.04328125</v>
      </c>
      <c r="E90" s="33" t="n">
        <f aca="false">E89-E78</f>
        <v>268.554186334375</v>
      </c>
      <c r="F90" s="33" t="n">
        <f aca="false">F89-F78</f>
        <v>289.047692693195</v>
      </c>
      <c r="G90" s="33" t="n">
        <f aca="false">G89-G78</f>
        <v>262.965620777892</v>
      </c>
      <c r="H90" s="33" t="n">
        <f aca="false">H89-H78</f>
        <v>230.11090156206</v>
      </c>
    </row>
    <row r="91" customFormat="false" ht="15" hidden="false" customHeight="false" outlineLevel="0" collapsed="false">
      <c r="A91" s="5" t="s">
        <v>341</v>
      </c>
      <c r="B91" s="14" t="s">
        <v>44</v>
      </c>
      <c r="C91" s="18" t="n">
        <f aca="false">C90/C24</f>
        <v>5.75</v>
      </c>
      <c r="D91" s="18" t="n">
        <f aca="false">D90/D24</f>
        <v>5.09752290345314</v>
      </c>
      <c r="E91" s="18" t="n">
        <f aca="false">E90/E24</f>
        <v>4.76878604873258</v>
      </c>
      <c r="F91" s="18" t="n">
        <f aca="false">F90/F24</f>
        <v>4.27219984236625</v>
      </c>
      <c r="G91" s="18" t="n">
        <f aca="false">G90/G24</f>
        <v>3.48510544781453</v>
      </c>
      <c r="H91" s="18" t="n">
        <f aca="false">H90/H24</f>
        <v>2.78046583141958</v>
      </c>
    </row>
    <row r="92" customFormat="false" ht="15" hidden="false" customHeight="false" outlineLevel="0" collapsed="false">
      <c r="A92" s="5" t="s">
        <v>342</v>
      </c>
      <c r="B92" s="14" t="s">
        <v>44</v>
      </c>
      <c r="D92" s="18" t="n">
        <f aca="false">D24/D86</f>
        <v>2.42332126511374</v>
      </c>
      <c r="E92" s="18" t="n">
        <f aca="false">E24/E86</f>
        <v>2.73188057194599</v>
      </c>
      <c r="F92" s="18" t="n">
        <f aca="false">F24/F86</f>
        <v>3.08323917753088</v>
      </c>
      <c r="G92" s="18" t="n">
        <f aca="false">G24/G86</f>
        <v>3.62339470649633</v>
      </c>
      <c r="H92" s="18" t="n">
        <f aca="false">H24/H86</f>
        <v>4.34124553879565</v>
      </c>
    </row>
    <row r="93" customFormat="false" ht="15" hidden="false" customHeight="false" outlineLevel="0" collapsed="false">
      <c r="A93" s="5" t="s">
        <v>343</v>
      </c>
      <c r="B93" s="14" t="s">
        <v>54</v>
      </c>
      <c r="C93" s="28" t="n">
        <f aca="false">1-C91/Inputs!$C$41</f>
        <v>0.303030303030303</v>
      </c>
      <c r="D93" s="28" t="n">
        <f aca="false">1-D91/Inputs!$C$41</f>
        <v>0.382118435945075</v>
      </c>
      <c r="E93" s="28" t="n">
        <f aca="false">1-E91/Inputs!$C$41</f>
        <v>0.421965327426355</v>
      </c>
      <c r="F93" s="28" t="n">
        <f aca="false">1-F91/Inputs!$C$41</f>
        <v>0.482157594864697</v>
      </c>
      <c r="G93" s="28" t="n">
        <f aca="false">1-G91/Inputs!$C$41</f>
        <v>0.577562976022482</v>
      </c>
      <c r="H93" s="28" t="n">
        <f aca="false">1-H91/Inputs!$C$41</f>
        <v>0.662973838615809</v>
      </c>
      <c r="I93" s="15" t="s">
        <v>344</v>
      </c>
    </row>
    <row r="94" customFormat="false" ht="15" hidden="false" customHeight="false" outlineLevel="0" collapsed="false">
      <c r="A94" s="34" t="s">
        <v>345</v>
      </c>
      <c r="B94" s="14" t="s">
        <v>38</v>
      </c>
      <c r="D94" s="39" t="n">
        <f aca="false">D90-(C90-D40)</f>
        <v>0</v>
      </c>
      <c r="E94" s="39" t="n">
        <f aca="false">E90-(D90-E40)</f>
        <v>0</v>
      </c>
      <c r="F94" s="39" t="n">
        <f aca="false">F90-(E90-F40)</f>
        <v>0</v>
      </c>
      <c r="G94" s="39" t="n">
        <f aca="false">G90-(F90-G40)</f>
        <v>0</v>
      </c>
      <c r="H94" s="39" t="n">
        <f aca="false">H90-(G90-H40)</f>
        <v>0</v>
      </c>
    </row>
    <row r="96" customFormat="false" ht="15" hidden="false" customHeight="false" outlineLevel="0" collapsed="false">
      <c r="A96" s="3" t="s">
        <v>346</v>
      </c>
      <c r="B96" s="4"/>
      <c r="C96" s="4"/>
      <c r="D96" s="4"/>
      <c r="E96" s="4"/>
      <c r="F96" s="4"/>
      <c r="G96" s="4"/>
      <c r="H96" s="4"/>
      <c r="I96" s="4"/>
    </row>
    <row r="97" customFormat="false" ht="15" hidden="false" customHeight="false" outlineLevel="0" collapsed="false">
      <c r="A97" s="5" t="s">
        <v>347</v>
      </c>
      <c r="B97" s="14" t="s">
        <v>38</v>
      </c>
      <c r="C97" s="17" t="n">
        <f aca="false">H24</f>
        <v>82.7598379242</v>
      </c>
    </row>
    <row r="98" customFormat="false" ht="15" hidden="false" customHeight="false" outlineLevel="0" collapsed="false">
      <c r="A98" s="5" t="s">
        <v>348</v>
      </c>
      <c r="B98" s="14" t="s">
        <v>44</v>
      </c>
      <c r="C98" s="18" t="n">
        <f aca="false">INDEX(Inputs!$D$59:$F$59,$C$3)</f>
        <v>13.5</v>
      </c>
    </row>
    <row r="99" customFormat="false" ht="15" hidden="false" customHeight="false" outlineLevel="0" collapsed="false">
      <c r="A99" s="5" t="s">
        <v>349</v>
      </c>
      <c r="B99" s="14" t="s">
        <v>38</v>
      </c>
      <c r="C99" s="17" t="n">
        <f aca="false">C97*C98</f>
        <v>1117.2578119767</v>
      </c>
    </row>
    <row r="100" customFormat="false" ht="15" hidden="false" customHeight="false" outlineLevel="0" collapsed="false">
      <c r="A100" s="5" t="s">
        <v>350</v>
      </c>
      <c r="B100" s="14" t="s">
        <v>38</v>
      </c>
      <c r="C100" s="17" t="n">
        <f aca="false">-C99*Inputs!$C$70</f>
        <v>-16.7588671796505</v>
      </c>
    </row>
    <row r="101" customFormat="false" ht="15" hidden="false" customHeight="false" outlineLevel="0" collapsed="false">
      <c r="A101" s="5" t="s">
        <v>351</v>
      </c>
      <c r="B101" s="14" t="s">
        <v>38</v>
      </c>
      <c r="C101" s="17" t="n">
        <f aca="false">-H90</f>
        <v>-230.11090156206</v>
      </c>
    </row>
    <row r="102" customFormat="false" ht="15" hidden="false" customHeight="false" outlineLevel="0" collapsed="false">
      <c r="A102" s="1" t="s">
        <v>352</v>
      </c>
      <c r="B102" s="14" t="s">
        <v>38</v>
      </c>
      <c r="C102" s="33" t="n">
        <f aca="false">SUM(C99:C101)</f>
        <v>870.38804323499</v>
      </c>
    </row>
    <row r="103" customFormat="false" ht="15" hidden="false" customHeight="false" outlineLevel="0" collapsed="false">
      <c r="A103" s="5" t="s">
        <v>353</v>
      </c>
      <c r="B103" s="14" t="s">
        <v>38</v>
      </c>
      <c r="C103" s="9" t="n">
        <f aca="false">Transaction!$C$20</f>
        <v>328.2</v>
      </c>
      <c r="I103" s="15" t="s">
        <v>354</v>
      </c>
    </row>
    <row r="104" customFormat="false" ht="15" hidden="false" customHeight="false" outlineLevel="0" collapsed="false">
      <c r="A104" s="5" t="s">
        <v>355</v>
      </c>
      <c r="B104" s="14" t="s">
        <v>38</v>
      </c>
      <c r="C104" s="17" t="n">
        <f aca="false">C102-C103</f>
        <v>542.188043234989</v>
      </c>
    </row>
    <row r="105" customFormat="false" ht="15" hidden="false" customHeight="false" outlineLevel="0" collapsed="false">
      <c r="A105" s="5" t="s">
        <v>356</v>
      </c>
      <c r="B105" s="14" t="s">
        <v>38</v>
      </c>
      <c r="C105" s="17" t="n">
        <f aca="false">-Inputs!$C$20*MAX(0,C104)</f>
        <v>-54.2188043234989</v>
      </c>
    </row>
    <row r="106" customFormat="false" ht="15" hidden="false" customHeight="false" outlineLevel="0" collapsed="false">
      <c r="A106" s="1" t="s">
        <v>357</v>
      </c>
      <c r="B106" s="14" t="s">
        <v>38</v>
      </c>
      <c r="C106" s="33" t="n">
        <f aca="false">C102+C105</f>
        <v>816.169238911491</v>
      </c>
    </row>
    <row r="107" customFormat="false" ht="15" hidden="false" customHeight="false" outlineLevel="0" collapsed="false">
      <c r="A107" s="5" t="s">
        <v>358</v>
      </c>
      <c r="B107" s="14" t="s">
        <v>44</v>
      </c>
      <c r="C107" s="41" t="n">
        <f aca="false">C106/C103</f>
        <v>2.48680450612886</v>
      </c>
    </row>
    <row r="108" customFormat="false" ht="15" hidden="false" customHeight="false" outlineLevel="0" collapsed="false">
      <c r="A108" s="5" t="s">
        <v>359</v>
      </c>
      <c r="B108" s="14" t="s">
        <v>38</v>
      </c>
      <c r="C108" s="17" t="n">
        <f aca="false">-C103</f>
        <v>-328.2</v>
      </c>
      <c r="D108" s="19" t="n">
        <v>0</v>
      </c>
      <c r="E108" s="19" t="n">
        <v>0</v>
      </c>
      <c r="F108" s="19" t="n">
        <v>0</v>
      </c>
      <c r="G108" s="19" t="n">
        <v>0</v>
      </c>
      <c r="H108" s="17" t="n">
        <f aca="false">$C$106</f>
        <v>816.169238911491</v>
      </c>
    </row>
    <row r="109" customFormat="false" ht="15" hidden="false" customHeight="false" outlineLevel="0" collapsed="false">
      <c r="A109" s="5" t="s">
        <v>360</v>
      </c>
      <c r="B109" s="14" t="s">
        <v>54</v>
      </c>
      <c r="C109" s="28" t="n">
        <f aca="false">IRR(C108:H108)</f>
        <v>0.199853794058016</v>
      </c>
      <c r="I109" s="15" t="s">
        <v>361</v>
      </c>
    </row>
    <row r="110" customFormat="false" ht="15" hidden="false" customHeight="false" outlineLevel="0" collapsed="false">
      <c r="A110" s="34" t="s">
        <v>362</v>
      </c>
      <c r="B110" s="14" t="s">
        <v>54</v>
      </c>
      <c r="C110" s="35" t="n">
        <f aca="false">C109-(C107^(1/H$6)-1)</f>
        <v>0</v>
      </c>
    </row>
    <row r="112" customFormat="false" ht="15" hidden="false" customHeight="false" outlineLevel="0" collapsed="false">
      <c r="A112" s="3" t="s">
        <v>363</v>
      </c>
      <c r="B112" s="4"/>
      <c r="C112" s="4"/>
      <c r="D112" s="4"/>
      <c r="E112" s="4"/>
      <c r="F112" s="4"/>
      <c r="G112" s="4"/>
      <c r="H112" s="4"/>
      <c r="I112" s="4"/>
    </row>
    <row r="113" customFormat="false" ht="15" hidden="false" customHeight="false" outlineLevel="0" collapsed="false">
      <c r="A113" s="5" t="s">
        <v>349</v>
      </c>
      <c r="B113" s="14" t="s">
        <v>38</v>
      </c>
      <c r="D113" s="17" t="n">
        <f aca="false">D24*$C$98</f>
        <v>598.640625</v>
      </c>
      <c r="E113" s="17" t="n">
        <f aca="false">E24*$C$98</f>
        <v>760.2525</v>
      </c>
      <c r="F113" s="17" t="n">
        <f aca="false">F24*$C$98</f>
        <v>913.380458625</v>
      </c>
      <c r="G113" s="17" t="n">
        <f aca="false">G24*$C$98</f>
        <v>1018.63083733313</v>
      </c>
      <c r="H113" s="17" t="n">
        <f aca="false">H24*$C$98</f>
        <v>1117.2578119767</v>
      </c>
    </row>
    <row r="114" customFormat="false" ht="15" hidden="false" customHeight="false" outlineLevel="0" collapsed="false">
      <c r="A114" s="5" t="s">
        <v>350</v>
      </c>
      <c r="B114" s="14" t="s">
        <v>38</v>
      </c>
      <c r="D114" s="17" t="n">
        <f aca="false">-D113*Inputs!$C$70</f>
        <v>-8.979609375</v>
      </c>
      <c r="E114" s="17" t="n">
        <f aca="false">-E113*Inputs!$C$70</f>
        <v>-11.4037875</v>
      </c>
      <c r="F114" s="17" t="n">
        <f aca="false">-F113*Inputs!$C$70</f>
        <v>-13.700706879375</v>
      </c>
      <c r="G114" s="17" t="n">
        <f aca="false">-G113*Inputs!$C$70</f>
        <v>-15.2794625599969</v>
      </c>
      <c r="H114" s="17" t="n">
        <f aca="false">-H113*Inputs!$C$70</f>
        <v>-16.7588671796505</v>
      </c>
    </row>
    <row r="115" customFormat="false" ht="15" hidden="false" customHeight="false" outlineLevel="0" collapsed="false">
      <c r="A115" s="5" t="s">
        <v>340</v>
      </c>
      <c r="B115" s="14" t="s">
        <v>38</v>
      </c>
      <c r="D115" s="17" t="n">
        <f aca="false">-D90</f>
        <v>-226.04328125</v>
      </c>
      <c r="E115" s="17" t="n">
        <f aca="false">-E90</f>
        <v>-268.554186334375</v>
      </c>
      <c r="F115" s="17" t="n">
        <f aca="false">-F90</f>
        <v>-289.047692693195</v>
      </c>
      <c r="G115" s="17" t="n">
        <f aca="false">-G90</f>
        <v>-262.965620777892</v>
      </c>
      <c r="H115" s="17" t="n">
        <f aca="false">-H90</f>
        <v>-230.11090156206</v>
      </c>
    </row>
    <row r="116" customFormat="false" ht="15" hidden="false" customHeight="false" outlineLevel="0" collapsed="false">
      <c r="A116" s="5" t="s">
        <v>352</v>
      </c>
      <c r="B116" s="14" t="s">
        <v>38</v>
      </c>
      <c r="D116" s="17" t="n">
        <f aca="false">SUM(D113:D115)</f>
        <v>363.617734375</v>
      </c>
      <c r="E116" s="17" t="n">
        <f aca="false">SUM(E113:E115)</f>
        <v>480.294526165625</v>
      </c>
      <c r="F116" s="17" t="n">
        <f aca="false">SUM(F113:F115)</f>
        <v>610.63205905243</v>
      </c>
      <c r="G116" s="17" t="n">
        <f aca="false">SUM(G113:G115)</f>
        <v>740.385753995236</v>
      </c>
      <c r="H116" s="17" t="n">
        <f aca="false">SUM(H113:H115)</f>
        <v>870.38804323499</v>
      </c>
    </row>
    <row r="117" customFormat="false" ht="15" hidden="false" customHeight="false" outlineLevel="0" collapsed="false">
      <c r="A117" s="5" t="s">
        <v>364</v>
      </c>
      <c r="B117" s="14" t="s">
        <v>38</v>
      </c>
      <c r="D117" s="17" t="n">
        <f aca="false">-Inputs!$C$20*MAX(0,D116-$C$103)</f>
        <v>-3.54177343750001</v>
      </c>
      <c r="E117" s="17" t="n">
        <f aca="false">-Inputs!$C$20*MAX(0,E116-$C$103)</f>
        <v>-15.2094526165625</v>
      </c>
      <c r="F117" s="17" t="n">
        <f aca="false">-Inputs!$C$20*MAX(0,F116-$C$103)</f>
        <v>-28.243205905243</v>
      </c>
      <c r="G117" s="17" t="n">
        <f aca="false">-Inputs!$C$20*MAX(0,G116-$C$103)</f>
        <v>-41.2185753995236</v>
      </c>
      <c r="H117" s="17" t="n">
        <f aca="false">-Inputs!$C$20*MAX(0,H116-$C$103)</f>
        <v>-54.2188043234989</v>
      </c>
    </row>
    <row r="118" customFormat="false" ht="15" hidden="false" customHeight="false" outlineLevel="0" collapsed="false">
      <c r="A118" s="5" t="s">
        <v>365</v>
      </c>
      <c r="B118" s="14" t="s">
        <v>38</v>
      </c>
      <c r="D118" s="17" t="n">
        <f aca="false">D116+D117</f>
        <v>360.0759609375</v>
      </c>
      <c r="E118" s="17" t="n">
        <f aca="false">E116+E117</f>
        <v>465.085073549062</v>
      </c>
      <c r="F118" s="17" t="n">
        <f aca="false">F116+F117</f>
        <v>582.388853147187</v>
      </c>
      <c r="G118" s="17" t="n">
        <f aca="false">G116+G117</f>
        <v>699.167178595712</v>
      </c>
      <c r="H118" s="17" t="n">
        <f aca="false">H116+H117</f>
        <v>816.169238911491</v>
      </c>
    </row>
    <row r="119" customFormat="false" ht="15" hidden="false" customHeight="false" outlineLevel="0" collapsed="false">
      <c r="A119" s="5" t="s">
        <v>32</v>
      </c>
      <c r="B119" s="14" t="s">
        <v>44</v>
      </c>
      <c r="D119" s="41" t="n">
        <f aca="false">D118/$C$103</f>
        <v>1.09712358603748</v>
      </c>
      <c r="E119" s="41" t="n">
        <f aca="false">E118/$C$103</f>
        <v>1.41707822531707</v>
      </c>
      <c r="F119" s="41" t="n">
        <f aca="false">F118/$C$103</f>
        <v>1.77449376339789</v>
      </c>
      <c r="G119" s="41" t="n">
        <f aca="false">G118/$C$103</f>
        <v>2.13030828335074</v>
      </c>
      <c r="H119" s="41" t="n">
        <f aca="false">H118/$C$103</f>
        <v>2.48680450612886</v>
      </c>
    </row>
    <row r="120" customFormat="false" ht="15" hidden="false" customHeight="false" outlineLevel="0" collapsed="false">
      <c r="A120" s="5" t="s">
        <v>31</v>
      </c>
      <c r="B120" s="14" t="s">
        <v>54</v>
      </c>
      <c r="D120" s="28" t="n">
        <f aca="false">IF(D119&gt;0,D119^(1/D$6)-1,-1)</f>
        <v>0.0971235860374773</v>
      </c>
      <c r="E120" s="28" t="n">
        <f aca="false">IF(E119&gt;0,E119^(1/E$6)-1,-1)</f>
        <v>0.190410948083505</v>
      </c>
      <c r="F120" s="28" t="n">
        <f aca="false">IF(F119&gt;0,F119^(1/F$6)-1,-1)</f>
        <v>0.210667337504013</v>
      </c>
      <c r="G120" s="28" t="n">
        <f aca="false">IF(G119&gt;0,G119^(1/G$6)-1,-1)</f>
        <v>0.208121502269964</v>
      </c>
      <c r="H120" s="28" t="n">
        <f aca="false">IF(H119&gt;0,H119^(1/H$6)-1,-1)</f>
        <v>0.199853794058016</v>
      </c>
      <c r="I120" s="15" t="s">
        <v>366</v>
      </c>
    </row>
    <row r="122" customFormat="false" ht="15" hidden="false" customHeight="false" outlineLevel="0" collapsed="false">
      <c r="A122" s="3" t="s">
        <v>367</v>
      </c>
      <c r="B122" s="4"/>
      <c r="C122" s="4"/>
      <c r="D122" s="4"/>
      <c r="E122" s="4"/>
      <c r="F122" s="4"/>
      <c r="G122" s="4"/>
      <c r="H122" s="4"/>
      <c r="I122" s="4"/>
    </row>
    <row r="123" customFormat="false" ht="15" hidden="false" customHeight="false" outlineLevel="0" collapsed="false">
      <c r="A123" s="5" t="s">
        <v>353</v>
      </c>
      <c r="B123" s="14" t="s">
        <v>38</v>
      </c>
      <c r="C123" s="17" t="n">
        <f aca="false">C103</f>
        <v>328.2</v>
      </c>
    </row>
    <row r="124" customFormat="false" ht="15" hidden="false" customHeight="false" outlineLevel="0" collapsed="false">
      <c r="A124" s="5" t="s">
        <v>368</v>
      </c>
      <c r="B124" s="14" t="s">
        <v>38</v>
      </c>
      <c r="C124" s="17" t="n">
        <f aca="false">(H19-C19)*Inputs!$C$9</f>
        <v>380.6428733271</v>
      </c>
      <c r="I124" s="15" t="s">
        <v>369</v>
      </c>
    </row>
    <row r="125" customFormat="false" ht="15" hidden="false" customHeight="false" outlineLevel="0" collapsed="false">
      <c r="A125" s="5" t="s">
        <v>370</v>
      </c>
      <c r="B125" s="14" t="s">
        <v>38</v>
      </c>
      <c r="C125" s="17" t="n">
        <f aca="false">(H20+H21+H22+H23)*Inputs!$C$9</f>
        <v>196.6149386496</v>
      </c>
    </row>
    <row r="126" customFormat="false" ht="15" hidden="false" customHeight="false" outlineLevel="0" collapsed="false">
      <c r="A126" s="5" t="s">
        <v>371</v>
      </c>
      <c r="B126" s="14" t="s">
        <v>38</v>
      </c>
      <c r="C126" s="17" t="n">
        <f aca="false">(C98-Inputs!$C$9)*C97</f>
        <v>0</v>
      </c>
    </row>
    <row r="127" customFormat="false" ht="15" hidden="false" customHeight="false" outlineLevel="0" collapsed="false">
      <c r="A127" s="5" t="s">
        <v>372</v>
      </c>
      <c r="B127" s="14" t="s">
        <v>38</v>
      </c>
      <c r="C127" s="17" t="n">
        <f aca="false">SUM(D39:H39)</f>
        <v>-87.8384</v>
      </c>
    </row>
    <row r="128" customFormat="false" ht="15" hidden="false" customHeight="false" outlineLevel="0" collapsed="false">
      <c r="A128" s="5" t="s">
        <v>373</v>
      </c>
      <c r="B128" s="14" t="s">
        <v>38</v>
      </c>
      <c r="C128" s="17" t="n">
        <f aca="false">SUM(D38:H38)</f>
        <v>0</v>
      </c>
    </row>
    <row r="129" customFormat="false" ht="15" hidden="false" customHeight="false" outlineLevel="0" collapsed="false">
      <c r="A129" s="5" t="s">
        <v>374</v>
      </c>
      <c r="B129" s="14" t="s">
        <v>38</v>
      </c>
      <c r="C129" s="17" t="n">
        <f aca="false">SUM(D37:H37)</f>
        <v>87.72749843794</v>
      </c>
    </row>
    <row r="130" customFormat="false" ht="15" hidden="false" customHeight="false" outlineLevel="0" collapsed="false">
      <c r="A130" s="5" t="s">
        <v>375</v>
      </c>
      <c r="B130" s="14" t="s">
        <v>38</v>
      </c>
      <c r="C130" s="17" t="n">
        <f aca="false">-(Transaction!$C$6+Transaction!$C$7)</f>
        <v>-18.2</v>
      </c>
    </row>
    <row r="131" customFormat="false" ht="15" hidden="false" customHeight="false" outlineLevel="0" collapsed="false">
      <c r="A131" s="5" t="s">
        <v>350</v>
      </c>
      <c r="B131" s="14" t="s">
        <v>38</v>
      </c>
      <c r="C131" s="17" t="n">
        <f aca="false">C100</f>
        <v>-16.7588671796505</v>
      </c>
    </row>
    <row r="132" customFormat="false" ht="15" hidden="false" customHeight="false" outlineLevel="0" collapsed="false">
      <c r="A132" s="5" t="s">
        <v>364</v>
      </c>
      <c r="B132" s="14" t="s">
        <v>38</v>
      </c>
      <c r="C132" s="17" t="n">
        <f aca="false">C105</f>
        <v>-54.2188043234989</v>
      </c>
    </row>
    <row r="133" customFormat="false" ht="15" hidden="false" customHeight="false" outlineLevel="0" collapsed="false">
      <c r="A133" s="1" t="s">
        <v>357</v>
      </c>
      <c r="B133" s="14" t="s">
        <v>38</v>
      </c>
      <c r="C133" s="33" t="n">
        <f aca="false">SUM(C123:C132)</f>
        <v>816.169238911491</v>
      </c>
    </row>
    <row r="134" customFormat="false" ht="15" hidden="false" customHeight="false" outlineLevel="0" collapsed="false">
      <c r="A134" s="34" t="s">
        <v>376</v>
      </c>
      <c r="B134" s="14" t="s">
        <v>38</v>
      </c>
      <c r="C134" s="39" t="n">
        <f aca="false">C133-C106</f>
        <v>0</v>
      </c>
    </row>
    <row r="136" customFormat="false" ht="15" hidden="false" customHeight="false" outlineLevel="0" collapsed="false">
      <c r="A136" s="3" t="s">
        <v>377</v>
      </c>
      <c r="B136" s="4"/>
      <c r="C136" s="4"/>
      <c r="D136" s="4"/>
      <c r="E136" s="4"/>
      <c r="F136" s="4"/>
      <c r="G136" s="4"/>
      <c r="H136" s="4"/>
      <c r="I136" s="4"/>
    </row>
    <row r="137" customFormat="false" ht="15" hidden="false" customHeight="false" outlineLevel="0" collapsed="false">
      <c r="A137" s="5" t="s">
        <v>378</v>
      </c>
      <c r="B137" s="14" t="s">
        <v>38</v>
      </c>
      <c r="C137" s="17" t="n">
        <f aca="false">Inputs!$C$21*MIN(1,MAX(0,(INDEX($D$19:$H$19,MATCH(Inputs!$C$22,$D$7:$H$7,0))-Inputs!$C$24)/(Inputs!$C$25-Inputs!$C$24)))</f>
        <v>0</v>
      </c>
      <c r="I137" s="15" t="s">
        <v>379</v>
      </c>
    </row>
    <row r="138" customFormat="false" ht="15" hidden="false" customHeight="false" outlineLevel="0" collapsed="false">
      <c r="A138" s="5" t="s">
        <v>380</v>
      </c>
      <c r="B138" s="14" t="s">
        <v>122</v>
      </c>
      <c r="C138" s="36" t="n">
        <f aca="false">IF(MIN(D78:H78)&gt;=Inputs!$C$17-0.001,1,0)</f>
        <v>1</v>
      </c>
    </row>
    <row r="139" customFormat="false" ht="15" hidden="false" customHeight="false" outlineLevel="0" collapsed="false">
      <c r="A139" s="5" t="s">
        <v>381</v>
      </c>
      <c r="B139" s="14" t="s">
        <v>122</v>
      </c>
      <c r="C139" s="36" t="n">
        <f aca="false">IF(SUM(D65:H65)&gt;=-SUM(D39:H39)-0.001,1,0)</f>
        <v>1</v>
      </c>
    </row>
    <row r="140" customFormat="false" ht="15" hidden="false" customHeight="false" outlineLevel="0" collapsed="false">
      <c r="A140" s="5" t="s">
        <v>382</v>
      </c>
      <c r="B140" s="14" t="s">
        <v>122</v>
      </c>
      <c r="C140" s="36" t="n">
        <f aca="false">IF(MAX(D70:H70)&lt;=Inputs!$C$32+0.001,1,0)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8" min="4" style="0" width="11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383</v>
      </c>
    </row>
    <row r="2" customFormat="false" ht="15" hidden="false" customHeight="false" outlineLevel="0" collapsed="false">
      <c r="A2" s="2" t="s">
        <v>265</v>
      </c>
    </row>
    <row r="3" customFormat="false" ht="15" hidden="false" customHeight="false" outlineLevel="0" collapsed="false">
      <c r="A3" s="5" t="s">
        <v>266</v>
      </c>
      <c r="C3" s="30" t="n">
        <v>2</v>
      </c>
    </row>
    <row r="5" customFormat="false" ht="15" hidden="false" customHeight="false" outlineLevel="0" collapsed="false">
      <c r="A5" s="6" t="s">
        <v>38</v>
      </c>
      <c r="B5" s="6" t="s">
        <v>95</v>
      </c>
      <c r="C5" s="8" t="s">
        <v>171</v>
      </c>
      <c r="D5" s="8" t="s">
        <v>96</v>
      </c>
      <c r="E5" s="8" t="s">
        <v>97</v>
      </c>
      <c r="F5" s="8" t="s">
        <v>98</v>
      </c>
      <c r="G5" s="8" t="s">
        <v>99</v>
      </c>
      <c r="H5" s="8" t="s">
        <v>100</v>
      </c>
    </row>
    <row r="6" customFormat="false" ht="15" hidden="false" customHeight="false" outlineLevel="0" collapsed="false">
      <c r="A6" s="34" t="s">
        <v>267</v>
      </c>
      <c r="C6" s="30" t="n">
        <v>0</v>
      </c>
      <c r="D6" s="42" t="n">
        <f aca="false">C6+1</f>
        <v>1</v>
      </c>
      <c r="E6" s="42" t="n">
        <f aca="false">D6+1</f>
        <v>2</v>
      </c>
      <c r="F6" s="42" t="n">
        <f aca="false">E6+1</f>
        <v>3</v>
      </c>
      <c r="G6" s="42" t="n">
        <f aca="false">F6+1</f>
        <v>4</v>
      </c>
      <c r="H6" s="42" t="n">
        <f aca="false">G6+1</f>
        <v>5</v>
      </c>
    </row>
    <row r="7" customFormat="false" ht="15" hidden="false" customHeight="false" outlineLevel="0" collapsed="false">
      <c r="A7" s="34" t="s">
        <v>268</v>
      </c>
      <c r="C7" s="22" t="n">
        <v>2026</v>
      </c>
      <c r="D7" s="43" t="n">
        <f aca="false">C7+1</f>
        <v>2027</v>
      </c>
      <c r="E7" s="43" t="n">
        <f aca="false">D7+1</f>
        <v>2028</v>
      </c>
      <c r="F7" s="43" t="n">
        <f aca="false">E7+1</f>
        <v>2029</v>
      </c>
      <c r="G7" s="43" t="n">
        <f aca="false">F7+1</f>
        <v>2030</v>
      </c>
      <c r="H7" s="43" t="n">
        <f aca="false">G7+1</f>
        <v>2031</v>
      </c>
    </row>
    <row r="9" customFormat="false" ht="15" hidden="false" customHeight="false" outlineLevel="0" collapsed="false">
      <c r="A9" s="3" t="s">
        <v>207</v>
      </c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34" t="s">
        <v>269</v>
      </c>
      <c r="B10" s="14" t="s">
        <v>54</v>
      </c>
      <c r="D10" s="35" t="n">
        <f aca="false">INDEX(Inputs!D$45:D$47,$C$3)+Inputs!$C$52</f>
        <v>0.1</v>
      </c>
      <c r="E10" s="35" t="n">
        <f aca="false">INDEX(Inputs!E$45:E$47,$C$3)+Inputs!$C$52</f>
        <v>0.11</v>
      </c>
      <c r="F10" s="35" t="n">
        <f aca="false">INDEX(Inputs!F$45:F$47,$C$3)+Inputs!$C$52</f>
        <v>0.115</v>
      </c>
      <c r="G10" s="35" t="n">
        <f aca="false">INDEX(Inputs!G$45:G$47,$C$3)+Inputs!$C$52</f>
        <v>0.115</v>
      </c>
      <c r="H10" s="35" t="n">
        <f aca="false">INDEX(Inputs!H$45:H$47,$C$3)+Inputs!$C$52</f>
        <v>0.11</v>
      </c>
      <c r="I10" s="15" t="s">
        <v>270</v>
      </c>
    </row>
    <row r="11" customFormat="false" ht="15" hidden="false" customHeight="false" outlineLevel="0" collapsed="false">
      <c r="A11" s="5" t="s">
        <v>271</v>
      </c>
      <c r="B11" s="14" t="s">
        <v>38</v>
      </c>
      <c r="C11" s="9" t="n">
        <f aca="false">Inputs!$C$5</f>
        <v>150</v>
      </c>
      <c r="D11" s="17" t="n">
        <f aca="false">C11*(1+D10)</f>
        <v>165</v>
      </c>
      <c r="E11" s="17" t="n">
        <f aca="false">D11*(1+E10)</f>
        <v>183.15</v>
      </c>
      <c r="F11" s="17" t="n">
        <f aca="false">E11*(1+F10)</f>
        <v>204.21225</v>
      </c>
      <c r="G11" s="17" t="n">
        <f aca="false">F11*(1+G10)</f>
        <v>227.69665875</v>
      </c>
      <c r="H11" s="17" t="n">
        <f aca="false">G11*(1+H10)</f>
        <v>252.7432912125</v>
      </c>
    </row>
    <row r="12" customFormat="false" ht="15" hidden="false" customHeight="false" outlineLevel="0" collapsed="false">
      <c r="A12" s="5" t="s">
        <v>272</v>
      </c>
      <c r="B12" s="14" t="s">
        <v>38</v>
      </c>
      <c r="C12" s="19" t="n">
        <v>0</v>
      </c>
      <c r="D12" s="17" t="n">
        <f aca="false">IF(AND(INDEX(Inputs!$D$57:$F$57,$C$3)=1,D$7&gt;=Inputs!$D$74),Inputs!$D$75*(1+Inputs!$D$76)^(D$7-Inputs!$D$74+1),0)</f>
        <v>0</v>
      </c>
      <c r="E12" s="17" t="n">
        <f aca="false">IF(AND(INDEX(Inputs!$D$57:$F$57,$C$3)=1,E$7&gt;=Inputs!$D$74),Inputs!$D$75*(1+Inputs!$D$76)^(E$7-Inputs!$D$74+1),0)</f>
        <v>29.12</v>
      </c>
      <c r="F12" s="17" t="n">
        <f aca="false">IF(AND(INDEX(Inputs!$D$57:$F$57,$C$3)=1,F$7&gt;=Inputs!$D$74),Inputs!$D$75*(1+Inputs!$D$76)^(F$7-Inputs!$D$74+1),0)</f>
        <v>30.2848</v>
      </c>
      <c r="G12" s="17" t="n">
        <f aca="false">IF(AND(INDEX(Inputs!$D$57:$F$57,$C$3)=1,G$7&gt;=Inputs!$D$74),Inputs!$D$75*(1+Inputs!$D$76)^(G$7-Inputs!$D$74+1),0)</f>
        <v>31.496192</v>
      </c>
      <c r="H12" s="17" t="n">
        <f aca="false">IF(AND(INDEX(Inputs!$D$57:$F$57,$C$3)=1,H$7&gt;=Inputs!$D$74),Inputs!$D$75*(1+Inputs!$D$76)^(H$7-Inputs!$D$74+1),0)</f>
        <v>32.75603968</v>
      </c>
      <c r="I12" s="15" t="s">
        <v>273</v>
      </c>
    </row>
    <row r="13" customFormat="false" ht="15" hidden="false" customHeight="false" outlineLevel="0" collapsed="false">
      <c r="A13" s="5" t="s">
        <v>274</v>
      </c>
      <c r="B13" s="14" t="s">
        <v>38</v>
      </c>
      <c r="C13" s="19" t="n">
        <v>0</v>
      </c>
      <c r="D13" s="17" t="n">
        <f aca="false">IF(AND(INDEX(Inputs!$D$58:$F$58,$C$3)=1,D$7&gt;=Inputs!$E$74),Inputs!$E$75*(1+Inputs!$E$76)^(D$7-Inputs!$E$74+1),0)</f>
        <v>0</v>
      </c>
      <c r="E13" s="17" t="n">
        <f aca="false">IF(AND(INDEX(Inputs!$D$58:$F$58,$C$3)=1,E$7&gt;=Inputs!$E$74),Inputs!$E$75*(1+Inputs!$E$76)^(E$7-Inputs!$E$74+1),0)</f>
        <v>0</v>
      </c>
      <c r="F13" s="17" t="n">
        <f aca="false">IF(AND(INDEX(Inputs!$D$58:$F$58,$C$3)=1,F$7&gt;=Inputs!$E$74),Inputs!$E$75*(1+Inputs!$E$76)^(F$7-Inputs!$E$74+1),0)</f>
        <v>20.16</v>
      </c>
      <c r="G13" s="17" t="n">
        <f aca="false">IF(AND(INDEX(Inputs!$D$58:$F$58,$C$3)=1,G$7&gt;=Inputs!$E$74),Inputs!$E$75*(1+Inputs!$E$76)^(G$7-Inputs!$E$74+1),0)</f>
        <v>22.5792</v>
      </c>
      <c r="H13" s="17" t="n">
        <f aca="false">IF(AND(INDEX(Inputs!$D$58:$F$58,$C$3)=1,H$7&gt;=Inputs!$E$74),Inputs!$E$75*(1+Inputs!$E$76)^(H$7-Inputs!$E$74+1),0)</f>
        <v>25.288704</v>
      </c>
    </row>
    <row r="14" customFormat="false" ht="15" hidden="false" customHeight="false" outlineLevel="0" collapsed="false">
      <c r="A14" s="1" t="s">
        <v>175</v>
      </c>
      <c r="B14" s="14" t="s">
        <v>38</v>
      </c>
      <c r="C14" s="33" t="n">
        <f aca="false">SUM(C11:C13)</f>
        <v>150</v>
      </c>
      <c r="D14" s="33" t="n">
        <f aca="false">SUM(D11:D13)</f>
        <v>165</v>
      </c>
      <c r="E14" s="33" t="n">
        <f aca="false">SUM(E11:E13)</f>
        <v>212.27</v>
      </c>
      <c r="F14" s="33" t="n">
        <f aca="false">SUM(F11:F13)</f>
        <v>254.65705</v>
      </c>
      <c r="G14" s="33" t="n">
        <f aca="false">SUM(G11:G13)</f>
        <v>281.77205075</v>
      </c>
      <c r="H14" s="33" t="n">
        <f aca="false">SUM(H11:H13)</f>
        <v>310.7880348925</v>
      </c>
    </row>
    <row r="15" customFormat="false" ht="15" hidden="false" customHeight="false" outlineLevel="0" collapsed="false">
      <c r="A15" s="34" t="s">
        <v>275</v>
      </c>
      <c r="B15" s="14" t="s">
        <v>54</v>
      </c>
      <c r="D15" s="35" t="n">
        <f aca="false">D14/C14-1</f>
        <v>0.1</v>
      </c>
      <c r="E15" s="35" t="n">
        <f aca="false">E14/D14-1</f>
        <v>0.286484848484849</v>
      </c>
      <c r="F15" s="35" t="n">
        <f aca="false">F14/E14-1</f>
        <v>0.199684599802139</v>
      </c>
      <c r="G15" s="35" t="n">
        <f aca="false">G14/F14-1</f>
        <v>0.1064765367776</v>
      </c>
      <c r="H15" s="35" t="n">
        <f aca="false">H14/G14-1</f>
        <v>0.10297680009521</v>
      </c>
    </row>
    <row r="17" customFormat="false" ht="15" hidden="false" customHeight="false" outlineLevel="0" collapsed="false">
      <c r="A17" s="3" t="s">
        <v>276</v>
      </c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A18" s="34" t="s">
        <v>277</v>
      </c>
      <c r="B18" s="14" t="s">
        <v>54</v>
      </c>
      <c r="C18" s="35" t="n">
        <f aca="false">C19/C11</f>
        <v>0.266666666666667</v>
      </c>
      <c r="D18" s="35" t="n">
        <f aca="false">INDEX(Inputs!D$48:D$50,$C$3)+Inputs!$C$53</f>
        <v>0.279666666666667</v>
      </c>
      <c r="E18" s="35" t="n">
        <f aca="false">INDEX(Inputs!E$48:E$50,$C$3)+Inputs!$C$53</f>
        <v>0.294666666666667</v>
      </c>
      <c r="F18" s="35" t="n">
        <f aca="false">INDEX(Inputs!F$48:F$50,$C$3)+Inputs!$C$53</f>
        <v>0.309666666666667</v>
      </c>
      <c r="G18" s="35" t="n">
        <f aca="false">INDEX(Inputs!G$48:G$50,$C$3)+Inputs!$C$53</f>
        <v>0.319666666666667</v>
      </c>
      <c r="H18" s="35" t="n">
        <f aca="false">INDEX(Inputs!H$48:H$50,$C$3)+Inputs!$C$53</f>
        <v>0.324666666666667</v>
      </c>
    </row>
    <row r="19" customFormat="false" ht="15" hidden="false" customHeight="false" outlineLevel="0" collapsed="false">
      <c r="A19" s="5" t="s">
        <v>278</v>
      </c>
      <c r="B19" s="14" t="s">
        <v>38</v>
      </c>
      <c r="C19" s="9" t="n">
        <f aca="false">Inputs!$C$8</f>
        <v>40</v>
      </c>
      <c r="D19" s="17" t="n">
        <f aca="false">D11*D18</f>
        <v>46.145</v>
      </c>
      <c r="E19" s="17" t="n">
        <f aca="false">E11*E18</f>
        <v>53.9682</v>
      </c>
      <c r="F19" s="17" t="n">
        <f aca="false">F11*F18</f>
        <v>63.23772675</v>
      </c>
      <c r="G19" s="17" t="n">
        <f aca="false">G11*G18</f>
        <v>72.78703191375</v>
      </c>
      <c r="H19" s="17" t="n">
        <f aca="false">H11*H18</f>
        <v>82.057321880325</v>
      </c>
    </row>
    <row r="20" customFormat="false" ht="15" hidden="false" customHeight="false" outlineLevel="0" collapsed="false">
      <c r="A20" s="5" t="s">
        <v>279</v>
      </c>
      <c r="B20" s="14" t="s">
        <v>38</v>
      </c>
      <c r="C20" s="19" t="n">
        <v>0</v>
      </c>
      <c r="D20" s="17" t="n">
        <f aca="false">D12*Inputs!$D$77</f>
        <v>0</v>
      </c>
      <c r="E20" s="17" t="n">
        <f aca="false">E12*Inputs!$D$77</f>
        <v>6.4064</v>
      </c>
      <c r="F20" s="17" t="n">
        <f aca="false">F12*Inputs!$D$77</f>
        <v>6.662656</v>
      </c>
      <c r="G20" s="17" t="n">
        <f aca="false">G12*Inputs!$D$77</f>
        <v>6.92916224</v>
      </c>
      <c r="H20" s="17" t="n">
        <f aca="false">H12*Inputs!$D$77</f>
        <v>7.2063287296</v>
      </c>
    </row>
    <row r="21" customFormat="false" ht="15" hidden="false" customHeight="false" outlineLevel="0" collapsed="false">
      <c r="A21" s="5" t="s">
        <v>280</v>
      </c>
      <c r="B21" s="14" t="s">
        <v>38</v>
      </c>
      <c r="C21" s="19" t="n">
        <v>0</v>
      </c>
      <c r="D21" s="17" t="n">
        <f aca="false">IF(D12&gt;0,Inputs!$D$81*IF(D$7-Inputs!$D$74=0,Inputs!$D$82,IF(D$7-Inputs!$D$74=1,Inputs!$D$83,Inputs!$D$84)),0)</f>
        <v>0</v>
      </c>
      <c r="E21" s="17" t="n">
        <f aca="false">IF(E12&gt;0,Inputs!$D$81*IF(E$7-Inputs!$D$74=0,Inputs!$D$82,IF(E$7-Inputs!$D$74=1,Inputs!$D$83,Inputs!$D$84)),0)</f>
        <v>0.45</v>
      </c>
      <c r="F21" s="17" t="n">
        <f aca="false">IF(F12&gt;0,Inputs!$D$81*IF(F$7-Inputs!$D$74=0,Inputs!$D$82,IF(F$7-Inputs!$D$74=1,Inputs!$D$83,Inputs!$D$84)),0)</f>
        <v>1.35</v>
      </c>
      <c r="G21" s="17" t="n">
        <f aca="false">IF(G12&gt;0,Inputs!$D$81*IF(G$7-Inputs!$D$74=0,Inputs!$D$82,IF(G$7-Inputs!$D$74=1,Inputs!$D$83,Inputs!$D$84)),0)</f>
        <v>1.8</v>
      </c>
      <c r="H21" s="17" t="n">
        <f aca="false">IF(H12&gt;0,Inputs!$D$81*IF(H$7-Inputs!$D$74=0,Inputs!$D$82,IF(H$7-Inputs!$D$74=1,Inputs!$D$83,Inputs!$D$84)),0)</f>
        <v>1.8</v>
      </c>
    </row>
    <row r="22" customFormat="false" ht="15" hidden="false" customHeight="false" outlineLevel="0" collapsed="false">
      <c r="A22" s="5" t="s">
        <v>281</v>
      </c>
      <c r="B22" s="14" t="s">
        <v>38</v>
      </c>
      <c r="C22" s="19" t="n">
        <v>0</v>
      </c>
      <c r="D22" s="17" t="n">
        <f aca="false">D13*Inputs!$E$77</f>
        <v>0</v>
      </c>
      <c r="E22" s="17" t="n">
        <f aca="false">E13*Inputs!$E$77</f>
        <v>0</v>
      </c>
      <c r="F22" s="17" t="n">
        <f aca="false">F13*Inputs!$E$77</f>
        <v>4.032</v>
      </c>
      <c r="G22" s="17" t="n">
        <f aca="false">G13*Inputs!$E$77</f>
        <v>4.51584</v>
      </c>
      <c r="H22" s="17" t="n">
        <f aca="false">H13*Inputs!$E$77</f>
        <v>5.0577408</v>
      </c>
    </row>
    <row r="23" customFormat="false" ht="15" hidden="false" customHeight="false" outlineLevel="0" collapsed="false">
      <c r="A23" s="5" t="s">
        <v>282</v>
      </c>
      <c r="B23" s="14" t="s">
        <v>38</v>
      </c>
      <c r="C23" s="19" t="n">
        <v>0</v>
      </c>
      <c r="D23" s="17" t="n">
        <f aca="false">IF(D13&gt;0,Inputs!$E$81*IF(D$7-Inputs!$E$74=0,Inputs!$E$82,IF(D$7-Inputs!$E$74=1,Inputs!$E$83,Inputs!$E$84)),0)</f>
        <v>0</v>
      </c>
      <c r="E23" s="17" t="n">
        <f aca="false">IF(E13&gt;0,Inputs!$E$81*IF(E$7-Inputs!$E$74=0,Inputs!$E$82,IF(E$7-Inputs!$E$74=1,Inputs!$E$83,Inputs!$E$84)),0)</f>
        <v>0</v>
      </c>
      <c r="F23" s="17" t="n">
        <f aca="false">IF(F13&gt;0,Inputs!$E$81*IF(F$7-Inputs!$E$74=0,Inputs!$E$82,IF(F$7-Inputs!$E$74=1,Inputs!$E$83,Inputs!$E$84)),0)</f>
        <v>0.25</v>
      </c>
      <c r="G23" s="17" t="n">
        <f aca="false">IF(G13&gt;0,Inputs!$E$81*IF(G$7-Inputs!$E$74=0,Inputs!$E$82,IF(G$7-Inputs!$E$74=1,Inputs!$E$83,Inputs!$E$84)),0)</f>
        <v>0.5</v>
      </c>
      <c r="H23" s="17" t="n">
        <f aca="false">IF(H13&gt;0,Inputs!$E$81*IF(H$7-Inputs!$E$74=0,Inputs!$E$82,IF(H$7-Inputs!$E$74=1,Inputs!$E$83,Inputs!$E$84)),0)</f>
        <v>0.5</v>
      </c>
    </row>
    <row r="24" customFormat="false" ht="15" hidden="false" customHeight="false" outlineLevel="0" collapsed="false">
      <c r="A24" s="1" t="s">
        <v>283</v>
      </c>
      <c r="B24" s="14" t="s">
        <v>38</v>
      </c>
      <c r="C24" s="33" t="n">
        <f aca="false">SUM(C19:C23)</f>
        <v>40</v>
      </c>
      <c r="D24" s="33" t="n">
        <f aca="false">SUM(D19:D23)</f>
        <v>46.145</v>
      </c>
      <c r="E24" s="33" t="n">
        <f aca="false">SUM(E19:E23)</f>
        <v>60.8246</v>
      </c>
      <c r="F24" s="33" t="n">
        <f aca="false">SUM(F19:F23)</f>
        <v>75.53238275</v>
      </c>
      <c r="G24" s="33" t="n">
        <f aca="false">SUM(G19:G23)</f>
        <v>86.53203415375</v>
      </c>
      <c r="H24" s="33" t="n">
        <f aca="false">SUM(H19:H23)</f>
        <v>96.621391409925</v>
      </c>
    </row>
    <row r="25" customFormat="false" ht="15" hidden="false" customHeight="false" outlineLevel="0" collapsed="false">
      <c r="A25" s="34" t="s">
        <v>284</v>
      </c>
      <c r="B25" s="14" t="s">
        <v>54</v>
      </c>
      <c r="C25" s="35" t="n">
        <f aca="false">C24/C14</f>
        <v>0.266666666666667</v>
      </c>
      <c r="D25" s="35" t="n">
        <f aca="false">D24/D14</f>
        <v>0.279666666666667</v>
      </c>
      <c r="E25" s="35" t="n">
        <f aca="false">E24/E14</f>
        <v>0.286543553022095</v>
      </c>
      <c r="F25" s="35" t="n">
        <f aca="false">F24/F14</f>
        <v>0.296604326289023</v>
      </c>
      <c r="G25" s="35" t="n">
        <f aca="false">G24/G14</f>
        <v>0.30709942282574</v>
      </c>
      <c r="H25" s="35" t="n">
        <f aca="false">H24/H14</f>
        <v>0.310891606375213</v>
      </c>
    </row>
    <row r="26" customFormat="false" ht="15" hidden="false" customHeight="false" outlineLevel="0" collapsed="false">
      <c r="A26" s="34" t="s">
        <v>285</v>
      </c>
      <c r="B26" s="14" t="s">
        <v>54</v>
      </c>
      <c r="D26" s="35" t="n">
        <f aca="false">D24/C24-1</f>
        <v>0.153625</v>
      </c>
      <c r="E26" s="35" t="n">
        <f aca="false">E24/D24-1</f>
        <v>0.318118972803121</v>
      </c>
      <c r="F26" s="35" t="n">
        <f aca="false">F24/E24-1</f>
        <v>0.241806485369407</v>
      </c>
      <c r="G26" s="35" t="n">
        <f aca="false">G24/F24-1</f>
        <v>0.145628285554781</v>
      </c>
      <c r="H26" s="35" t="n">
        <f aca="false">H24/G24-1</f>
        <v>0.116596788170358</v>
      </c>
    </row>
    <row r="28" customFormat="false" ht="15" hidden="false" customHeight="false" outlineLevel="0" collapsed="false">
      <c r="A28" s="3" t="s">
        <v>286</v>
      </c>
      <c r="B28" s="4"/>
      <c r="C28" s="4"/>
      <c r="D28" s="4"/>
      <c r="E28" s="4"/>
      <c r="F28" s="4"/>
      <c r="G28" s="4"/>
      <c r="H28" s="4"/>
      <c r="I28" s="4"/>
    </row>
    <row r="29" customFormat="false" ht="15" hidden="false" customHeight="false" outlineLevel="0" collapsed="false">
      <c r="A29" s="5" t="s">
        <v>287</v>
      </c>
      <c r="B29" s="14" t="s">
        <v>38</v>
      </c>
      <c r="D29" s="17" t="n">
        <f aca="false">D24</f>
        <v>46.145</v>
      </c>
      <c r="E29" s="17" t="n">
        <f aca="false">E24</f>
        <v>60.8246</v>
      </c>
      <c r="F29" s="17" t="n">
        <f aca="false">F24</f>
        <v>75.53238275</v>
      </c>
      <c r="G29" s="17" t="n">
        <f aca="false">G24</f>
        <v>86.53203415375</v>
      </c>
      <c r="H29" s="17" t="n">
        <f aca="false">H24</f>
        <v>96.621391409925</v>
      </c>
    </row>
    <row r="30" customFormat="false" ht="15" hidden="false" customHeight="false" outlineLevel="0" collapsed="false">
      <c r="A30" s="5" t="s">
        <v>288</v>
      </c>
      <c r="B30" s="14" t="s">
        <v>38</v>
      </c>
      <c r="D30" s="17" t="n">
        <f aca="false">-(IF(AND(INDEX(Inputs!$D$57:$F$57,$C$3)=1,D$7=Inputs!$D$74),Inputs!$D$80,0)+IF(AND(INDEX(Inputs!$D$58:$F$58,$C$3)=1,D$7=Inputs!$E$74),Inputs!$E$80,0))</f>
        <v>-0</v>
      </c>
      <c r="E30" s="17" t="n">
        <f aca="false">-(IF(AND(INDEX(Inputs!$D$57:$F$57,$C$3)=1,E$7=Inputs!$D$74),Inputs!$D$80,0)+IF(AND(INDEX(Inputs!$D$58:$F$58,$C$3)=1,E$7=Inputs!$E$74),Inputs!$E$80,0))</f>
        <v>-2.5</v>
      </c>
      <c r="F30" s="17" t="n">
        <f aca="false">-(IF(AND(INDEX(Inputs!$D$57:$F$57,$C$3)=1,F$7=Inputs!$D$74),Inputs!$D$80,0)+IF(AND(INDEX(Inputs!$D$58:$F$58,$C$3)=1,F$7=Inputs!$E$74),Inputs!$E$80,0))</f>
        <v>-1.5</v>
      </c>
      <c r="G30" s="17" t="n">
        <f aca="false">-(IF(AND(INDEX(Inputs!$D$57:$F$57,$C$3)=1,G$7=Inputs!$D$74),Inputs!$D$80,0)+IF(AND(INDEX(Inputs!$D$58:$F$58,$C$3)=1,G$7=Inputs!$E$74),Inputs!$E$80,0))</f>
        <v>-0</v>
      </c>
      <c r="H30" s="17" t="n">
        <f aca="false">-(IF(AND(INDEX(Inputs!$D$57:$F$57,$C$3)=1,H$7=Inputs!$D$74),Inputs!$D$80,0)+IF(AND(INDEX(Inputs!$D$58:$F$58,$C$3)=1,H$7=Inputs!$E$74),Inputs!$E$80,0))</f>
        <v>-0</v>
      </c>
    </row>
    <row r="31" customFormat="false" ht="15" hidden="false" customHeight="false" outlineLevel="0" collapsed="false">
      <c r="A31" s="5" t="s">
        <v>289</v>
      </c>
      <c r="B31" s="14" t="s">
        <v>38</v>
      </c>
      <c r="D31" s="17" t="n">
        <f aca="false">-D14*Inputs!$C$63</f>
        <v>-6.6</v>
      </c>
      <c r="E31" s="17" t="n">
        <f aca="false">-E14*Inputs!$C$63</f>
        <v>-8.4908</v>
      </c>
      <c r="F31" s="17" t="n">
        <f aca="false">-F14*Inputs!$C$63</f>
        <v>-10.186282</v>
      </c>
      <c r="G31" s="17" t="n">
        <f aca="false">-G14*Inputs!$C$63</f>
        <v>-11.27088203</v>
      </c>
      <c r="H31" s="17" t="n">
        <f aca="false">-H14*Inputs!$C$63</f>
        <v>-12.4315213957</v>
      </c>
    </row>
    <row r="32" customFormat="false" ht="15" hidden="false" customHeight="false" outlineLevel="0" collapsed="false">
      <c r="A32" s="5" t="s">
        <v>290</v>
      </c>
      <c r="B32" s="14" t="s">
        <v>38</v>
      </c>
      <c r="D32" s="17" t="n">
        <f aca="false">-D14*Inputs!$C$64</f>
        <v>-2.475</v>
      </c>
      <c r="E32" s="17" t="n">
        <f aca="false">-E14*Inputs!$C$64</f>
        <v>-3.18405</v>
      </c>
      <c r="F32" s="17" t="n">
        <f aca="false">-F14*Inputs!$C$64</f>
        <v>-3.81985575</v>
      </c>
      <c r="G32" s="17" t="n">
        <f aca="false">-G14*Inputs!$C$64</f>
        <v>-4.22658076125</v>
      </c>
      <c r="H32" s="17" t="n">
        <f aca="false">-H14*Inputs!$C$64</f>
        <v>-4.6618205233875</v>
      </c>
    </row>
    <row r="33" customFormat="false" ht="15" hidden="false" customHeight="false" outlineLevel="0" collapsed="false">
      <c r="A33" s="5" t="s">
        <v>291</v>
      </c>
      <c r="B33" s="14" t="s">
        <v>38</v>
      </c>
      <c r="D33" s="17" t="n">
        <f aca="false">-Inputs!D$65</f>
        <v>-5</v>
      </c>
      <c r="E33" s="17" t="n">
        <f aca="false">-Inputs!E$65</f>
        <v>-4</v>
      </c>
      <c r="F33" s="17" t="n">
        <f aca="false">-Inputs!F$65</f>
        <v>-2</v>
      </c>
      <c r="G33" s="17" t="n">
        <f aca="false">-Inputs!G$65</f>
        <v>-0</v>
      </c>
      <c r="H33" s="17" t="n">
        <f aca="false">-Inputs!H$65</f>
        <v>-0</v>
      </c>
    </row>
    <row r="34" customFormat="false" ht="15" hidden="false" customHeight="false" outlineLevel="0" collapsed="false">
      <c r="A34" s="5" t="s">
        <v>292</v>
      </c>
      <c r="B34" s="14" t="s">
        <v>38</v>
      </c>
      <c r="D34" s="17" t="n">
        <f aca="false">-(D57-C57-D58)</f>
        <v>-3.3</v>
      </c>
      <c r="E34" s="17" t="n">
        <f aca="false">-(E57-D57-E58)</f>
        <v>-4.23940000000001</v>
      </c>
      <c r="F34" s="17" t="n">
        <f aca="false">-(F57-E57-F58)</f>
        <v>-5.365151</v>
      </c>
      <c r="G34" s="17" t="n">
        <f aca="false">-(G57-F57-G58)</f>
        <v>-5.965300165</v>
      </c>
      <c r="H34" s="17" t="n">
        <f aca="false">-(H57-G57-H58)</f>
        <v>-6.38351651135001</v>
      </c>
      <c r="I34" s="15" t="s">
        <v>293</v>
      </c>
    </row>
    <row r="35" customFormat="false" ht="15" hidden="false" customHeight="false" outlineLevel="0" collapsed="false">
      <c r="A35" s="5" t="s">
        <v>294</v>
      </c>
      <c r="B35" s="14" t="s">
        <v>38</v>
      </c>
      <c r="D35" s="17" t="n">
        <f aca="false">-D54</f>
        <v>-6.012875</v>
      </c>
      <c r="E35" s="17" t="n">
        <f aca="false">-E54</f>
        <v>-7.36593</v>
      </c>
      <c r="F35" s="17" t="n">
        <f aca="false">-F54</f>
        <v>-9.65995385625</v>
      </c>
      <c r="G35" s="17" t="n">
        <f aca="false">-G54</f>
        <v>-11.6209553425313</v>
      </c>
      <c r="H35" s="17" t="n">
        <f aca="false">-H54</f>
        <v>-14.3960227832597</v>
      </c>
    </row>
    <row r="36" customFormat="false" ht="15" hidden="false" customHeight="false" outlineLevel="0" collapsed="false">
      <c r="A36" s="5" t="s">
        <v>295</v>
      </c>
      <c r="B36" s="14" t="s">
        <v>38</v>
      </c>
      <c r="D36" s="17" t="n">
        <f aca="false">-D86</f>
        <v>-18.29875</v>
      </c>
      <c r="E36" s="17" t="n">
        <f aca="false">-E86</f>
        <v>-20.5801432875</v>
      </c>
      <c r="F36" s="17" t="n">
        <f aca="false">-F86</f>
        <v>-21.7602496094063</v>
      </c>
      <c r="G36" s="17" t="n">
        <f aca="false">-G86</f>
        <v>-22.6231686448264</v>
      </c>
      <c r="H36" s="17" t="n">
        <f aca="false">-H86</f>
        <v>-20.9457920616534</v>
      </c>
    </row>
    <row r="37" customFormat="false" ht="15" hidden="false" customHeight="false" outlineLevel="0" collapsed="false">
      <c r="A37" s="1" t="s">
        <v>286</v>
      </c>
      <c r="B37" s="14" t="s">
        <v>38</v>
      </c>
      <c r="D37" s="33" t="n">
        <f aca="false">SUM(D29:D36)</f>
        <v>4.458375</v>
      </c>
      <c r="E37" s="33" t="n">
        <f aca="false">SUM(E29:E36)</f>
        <v>10.4642767125</v>
      </c>
      <c r="F37" s="33" t="n">
        <f aca="false">SUM(F29:F36)</f>
        <v>21.2408905343438</v>
      </c>
      <c r="G37" s="33" t="n">
        <f aca="false">SUM(G29:G36)</f>
        <v>30.8251472101423</v>
      </c>
      <c r="H37" s="33" t="n">
        <f aca="false">SUM(H29:H36)</f>
        <v>37.8027181345743</v>
      </c>
    </row>
    <row r="38" customFormat="false" ht="15" hidden="false" customHeight="false" outlineLevel="0" collapsed="false">
      <c r="A38" s="5" t="s">
        <v>296</v>
      </c>
      <c r="B38" s="14" t="s">
        <v>38</v>
      </c>
      <c r="D38" s="17" t="n">
        <f aca="false">-IF(D$7=Inputs!$C$23,$C$137,0)</f>
        <v>-0</v>
      </c>
      <c r="E38" s="17" t="n">
        <f aca="false">-IF(E$7=Inputs!$C$23,$C$137,0)</f>
        <v>-0</v>
      </c>
      <c r="F38" s="17" t="n">
        <f aca="false">-IF(F$7=Inputs!$C$23,$C$137,0)</f>
        <v>-40</v>
      </c>
      <c r="G38" s="17" t="n">
        <f aca="false">-IF(G$7=Inputs!$C$23,$C$137,0)</f>
        <v>-0</v>
      </c>
      <c r="H38" s="17" t="n">
        <f aca="false">-IF(H$7=Inputs!$C$23,$C$137,0)</f>
        <v>-0</v>
      </c>
      <c r="I38" s="15" t="s">
        <v>297</v>
      </c>
    </row>
    <row r="39" customFormat="false" ht="15" hidden="false" customHeight="false" outlineLevel="0" collapsed="false">
      <c r="A39" s="5" t="s">
        <v>298</v>
      </c>
      <c r="B39" s="14" t="s">
        <v>38</v>
      </c>
      <c r="D39" s="17" t="n">
        <f aca="false">-(IF(AND(INDEX(Inputs!$D$57:$F$57,$C$3)=1,D$7=Inputs!$D$74),Inputs!$D$86,0)+IF(AND(INDEX(Inputs!$D$58:$F$58,$C$3)=1,D$7=Inputs!$E$74),Inputs!$E$86,0))</f>
        <v>-0</v>
      </c>
      <c r="E39" s="17" t="n">
        <f aca="false">-(IF(AND(INDEX(Inputs!$D$57:$F$57,$C$3)=1,E$7=Inputs!$D$74),Inputs!$D$86,0)+IF(AND(INDEX(Inputs!$D$58:$F$58,$C$3)=1,E$7=Inputs!$E$74),Inputs!$E$86,0))</f>
        <v>-50.7584</v>
      </c>
      <c r="F39" s="17" t="n">
        <f aca="false">-(IF(AND(INDEX(Inputs!$D$57:$F$57,$C$3)=1,F$7=Inputs!$D$74),Inputs!$D$86,0)+IF(AND(INDEX(Inputs!$D$58:$F$58,$C$3)=1,F$7=Inputs!$E$74),Inputs!$E$86,0))</f>
        <v>-37.08</v>
      </c>
      <c r="G39" s="17" t="n">
        <f aca="false">-(IF(AND(INDEX(Inputs!$D$57:$F$57,$C$3)=1,G$7=Inputs!$D$74),Inputs!$D$86,0)+IF(AND(INDEX(Inputs!$D$58:$F$58,$C$3)=1,G$7=Inputs!$E$74),Inputs!$E$86,0))</f>
        <v>-0</v>
      </c>
      <c r="H39" s="17" t="n">
        <f aca="false">-(IF(AND(INDEX(Inputs!$D$57:$F$57,$C$3)=1,H$7=Inputs!$D$74),Inputs!$D$86,0)+IF(AND(INDEX(Inputs!$D$58:$F$58,$C$3)=1,H$7=Inputs!$E$74),Inputs!$E$86,0))</f>
        <v>-0</v>
      </c>
    </row>
    <row r="40" customFormat="false" ht="15" hidden="false" customHeight="false" outlineLevel="0" collapsed="false">
      <c r="A40" s="1" t="s">
        <v>299</v>
      </c>
      <c r="B40" s="14" t="s">
        <v>38</v>
      </c>
      <c r="D40" s="33" t="n">
        <f aca="false">D37+D38+D39</f>
        <v>4.458375</v>
      </c>
      <c r="E40" s="33" t="n">
        <f aca="false">E37+E38+E39</f>
        <v>-40.2941232875</v>
      </c>
      <c r="F40" s="33" t="n">
        <f aca="false">F37+F38+F39</f>
        <v>-55.8391094656563</v>
      </c>
      <c r="G40" s="33" t="n">
        <f aca="false">G37+G38+G39</f>
        <v>30.8251472101423</v>
      </c>
      <c r="H40" s="33" t="n">
        <f aca="false">H37+H38+H39</f>
        <v>37.8027181345743</v>
      </c>
    </row>
    <row r="41" customFormat="false" ht="15" hidden="false" customHeight="false" outlineLevel="0" collapsed="false">
      <c r="A41" s="34" t="s">
        <v>300</v>
      </c>
      <c r="B41" s="14" t="s">
        <v>54</v>
      </c>
      <c r="D41" s="35" t="n">
        <f aca="false">(D29+D31+D32+D33+D34)/D29</f>
        <v>0.623469498320512</v>
      </c>
      <c r="E41" s="35" t="n">
        <f aca="false">(E29+E31+E32+E33+E34)/E29</f>
        <v>0.672595463019896</v>
      </c>
      <c r="F41" s="35" t="n">
        <f aca="false">(F29+F31+F32+F33+F34)/F29</f>
        <v>0.717057929699696</v>
      </c>
      <c r="G41" s="35" t="n">
        <f aca="false">(G29+G31+G32+G33+G34)/G29</f>
        <v>0.7519674284079</v>
      </c>
      <c r="H41" s="35" t="n">
        <f aca="false">(H29+H31+H32+H33+H34)/H29</f>
        <v>0.757022145015126</v>
      </c>
    </row>
    <row r="43" customFormat="false" ht="15" hidden="false" customHeight="false" outlineLevel="0" collapsed="false">
      <c r="A43" s="3" t="s">
        <v>301</v>
      </c>
      <c r="B43" s="4"/>
      <c r="C43" s="4"/>
      <c r="D43" s="4"/>
      <c r="E43" s="4"/>
      <c r="F43" s="4"/>
      <c r="G43" s="4"/>
      <c r="H43" s="4"/>
      <c r="I43" s="4"/>
    </row>
    <row r="44" customFormat="false" ht="15" hidden="false" customHeight="false" outlineLevel="0" collapsed="false">
      <c r="A44" s="5" t="s">
        <v>287</v>
      </c>
      <c r="B44" s="14" t="s">
        <v>38</v>
      </c>
      <c r="D44" s="17" t="n">
        <f aca="false">D24</f>
        <v>46.145</v>
      </c>
      <c r="E44" s="17" t="n">
        <f aca="false">E24</f>
        <v>60.8246</v>
      </c>
      <c r="F44" s="17" t="n">
        <f aca="false">F24</f>
        <v>75.53238275</v>
      </c>
      <c r="G44" s="17" t="n">
        <f aca="false">G24</f>
        <v>86.53203415375</v>
      </c>
      <c r="H44" s="17" t="n">
        <f aca="false">H24</f>
        <v>96.621391409925</v>
      </c>
    </row>
    <row r="45" customFormat="false" ht="15" hidden="false" customHeight="false" outlineLevel="0" collapsed="false">
      <c r="A45" s="5" t="s">
        <v>288</v>
      </c>
      <c r="B45" s="14" t="s">
        <v>38</v>
      </c>
      <c r="D45" s="17" t="n">
        <f aca="false">D30</f>
        <v>-0</v>
      </c>
      <c r="E45" s="17" t="n">
        <f aca="false">E30</f>
        <v>-2.5</v>
      </c>
      <c r="F45" s="17" t="n">
        <f aca="false">F30</f>
        <v>-1.5</v>
      </c>
      <c r="G45" s="17" t="n">
        <f aca="false">G30</f>
        <v>-0</v>
      </c>
      <c r="H45" s="17" t="n">
        <f aca="false">H30</f>
        <v>-0</v>
      </c>
    </row>
    <row r="46" customFormat="false" ht="15" hidden="false" customHeight="false" outlineLevel="0" collapsed="false">
      <c r="A46" s="5" t="s">
        <v>302</v>
      </c>
      <c r="B46" s="14" t="s">
        <v>38</v>
      </c>
      <c r="D46" s="17" t="n">
        <f aca="false">-D14*Inputs!$C$62</f>
        <v>-8.25</v>
      </c>
      <c r="E46" s="17" t="n">
        <f aca="false">-E14*Inputs!$C$62</f>
        <v>-10.6135</v>
      </c>
      <c r="F46" s="17" t="n">
        <f aca="false">-F14*Inputs!$C$62</f>
        <v>-12.7328525</v>
      </c>
      <c r="G46" s="17" t="n">
        <f aca="false">-G14*Inputs!$C$62</f>
        <v>-14.0886025375</v>
      </c>
      <c r="H46" s="17" t="n">
        <f aca="false">-H14*Inputs!$C$62</f>
        <v>-15.539401744625</v>
      </c>
    </row>
    <row r="47" customFormat="false" ht="15" hidden="false" customHeight="false" outlineLevel="0" collapsed="false">
      <c r="A47" s="1" t="s">
        <v>303</v>
      </c>
      <c r="B47" s="14" t="s">
        <v>38</v>
      </c>
      <c r="D47" s="33" t="n">
        <f aca="false">SUM(D44:D46)</f>
        <v>37.895</v>
      </c>
      <c r="E47" s="33" t="n">
        <f aca="false">SUM(E44:E46)</f>
        <v>47.7111</v>
      </c>
      <c r="F47" s="33" t="n">
        <f aca="false">SUM(F44:F46)</f>
        <v>61.29953025</v>
      </c>
      <c r="G47" s="33" t="n">
        <f aca="false">SUM(G44:G46)</f>
        <v>72.44343161625</v>
      </c>
      <c r="H47" s="33" t="n">
        <f aca="false">SUM(H44:H46)</f>
        <v>81.0819896653</v>
      </c>
    </row>
    <row r="48" customFormat="false" ht="15" hidden="false" customHeight="false" outlineLevel="0" collapsed="false">
      <c r="A48" s="5" t="s">
        <v>295</v>
      </c>
      <c r="B48" s="14" t="s">
        <v>38</v>
      </c>
      <c r="D48" s="17" t="n">
        <f aca="false">D86</f>
        <v>18.29875</v>
      </c>
      <c r="E48" s="17" t="n">
        <f aca="false">E86</f>
        <v>20.5801432875</v>
      </c>
      <c r="F48" s="17" t="n">
        <f aca="false">F86</f>
        <v>21.7602496094063</v>
      </c>
      <c r="G48" s="17" t="n">
        <f aca="false">G86</f>
        <v>22.6231686448264</v>
      </c>
      <c r="H48" s="17" t="n">
        <f aca="false">H86</f>
        <v>20.9457920616534</v>
      </c>
    </row>
    <row r="49" customFormat="false" ht="15" hidden="false" customHeight="false" outlineLevel="0" collapsed="false">
      <c r="A49" s="5" t="s">
        <v>304</v>
      </c>
      <c r="B49" s="14" t="s">
        <v>38</v>
      </c>
      <c r="D49" s="17" t="n">
        <f aca="false">MAX(Inputs!$C$69,Inputs!$C$68*D44)</f>
        <v>13.8435</v>
      </c>
      <c r="E49" s="17" t="n">
        <f aca="false">MAX(Inputs!$C$69,Inputs!$C$68*E44)</f>
        <v>18.24738</v>
      </c>
      <c r="F49" s="17" t="n">
        <f aca="false">MAX(Inputs!$C$69,Inputs!$C$68*F44)</f>
        <v>22.659714825</v>
      </c>
      <c r="G49" s="17" t="n">
        <f aca="false">MAX(Inputs!$C$69,Inputs!$C$68*G44)</f>
        <v>25.959610246125</v>
      </c>
      <c r="H49" s="17" t="n">
        <f aca="false">MAX(Inputs!$C$69,Inputs!$C$68*H44)</f>
        <v>28.9864174229775</v>
      </c>
      <c r="I49" s="15" t="s">
        <v>305</v>
      </c>
    </row>
    <row r="50" customFormat="false" ht="15" hidden="false" customHeight="false" outlineLevel="0" collapsed="false">
      <c r="A50" s="5" t="s">
        <v>306</v>
      </c>
      <c r="B50" s="14" t="s">
        <v>38</v>
      </c>
      <c r="D50" s="17" t="n">
        <f aca="false">C52</f>
        <v>0</v>
      </c>
      <c r="E50" s="17" t="n">
        <f aca="false">D52</f>
        <v>4.45525000000001</v>
      </c>
      <c r="F50" s="17" t="n">
        <f aca="false">E52</f>
        <v>6.78801328750001</v>
      </c>
      <c r="G50" s="17" t="n">
        <f aca="false">F52</f>
        <v>5.88854807190626</v>
      </c>
      <c r="H50" s="17" t="n">
        <f aca="false">G52</f>
        <v>2.5521064706077</v>
      </c>
    </row>
    <row r="51" customFormat="false" ht="15" hidden="false" customHeight="false" outlineLevel="0" collapsed="false">
      <c r="A51" s="5" t="s">
        <v>307</v>
      </c>
      <c r="B51" s="14" t="s">
        <v>38</v>
      </c>
      <c r="D51" s="17" t="n">
        <f aca="false">MAX(0,MIN(D48+D50,D49))</f>
        <v>13.8435</v>
      </c>
      <c r="E51" s="17" t="n">
        <f aca="false">MAX(0,MIN(E48+E50,E49))</f>
        <v>18.24738</v>
      </c>
      <c r="F51" s="17" t="n">
        <f aca="false">MAX(0,MIN(F48+F50,F49))</f>
        <v>22.659714825</v>
      </c>
      <c r="G51" s="17" t="n">
        <f aca="false">MAX(0,MIN(G48+G50,G49))</f>
        <v>25.959610246125</v>
      </c>
      <c r="H51" s="17" t="n">
        <f aca="false">MAX(0,MIN(H48+H50,H49))</f>
        <v>23.4978985322611</v>
      </c>
    </row>
    <row r="52" customFormat="false" ht="15" hidden="false" customHeight="false" outlineLevel="0" collapsed="false">
      <c r="A52" s="5" t="s">
        <v>308</v>
      </c>
      <c r="B52" s="14" t="s">
        <v>38</v>
      </c>
      <c r="C52" s="19" t="n">
        <v>0</v>
      </c>
      <c r="D52" s="17" t="n">
        <f aca="false">MAX(0,D48+D50-D51)</f>
        <v>4.45525000000001</v>
      </c>
      <c r="E52" s="17" t="n">
        <f aca="false">MAX(0,E48+E50-E51)</f>
        <v>6.78801328750001</v>
      </c>
      <c r="F52" s="17" t="n">
        <f aca="false">MAX(0,F48+F50-F51)</f>
        <v>5.88854807190626</v>
      </c>
      <c r="G52" s="17" t="n">
        <f aca="false">MAX(0,G48+G50-G51)</f>
        <v>2.5521064706077</v>
      </c>
      <c r="H52" s="17" t="n">
        <f aca="false">MAX(0,H48+H50-H51)</f>
        <v>0</v>
      </c>
    </row>
    <row r="53" customFormat="false" ht="15" hidden="false" customHeight="false" outlineLevel="0" collapsed="false">
      <c r="A53" s="5" t="s">
        <v>309</v>
      </c>
      <c r="B53" s="14" t="s">
        <v>38</v>
      </c>
      <c r="D53" s="17" t="n">
        <f aca="false">MAX(0,D47-D51)</f>
        <v>24.0515</v>
      </c>
      <c r="E53" s="17" t="n">
        <f aca="false">MAX(0,E47-E51)</f>
        <v>29.46372</v>
      </c>
      <c r="F53" s="17" t="n">
        <f aca="false">MAX(0,F47-F51)</f>
        <v>38.639815425</v>
      </c>
      <c r="G53" s="17" t="n">
        <f aca="false">MAX(0,G47-G51)</f>
        <v>46.483821370125</v>
      </c>
      <c r="H53" s="17" t="n">
        <f aca="false">MAX(0,H47-H51)</f>
        <v>57.5840911330389</v>
      </c>
    </row>
    <row r="54" customFormat="false" ht="15" hidden="false" customHeight="false" outlineLevel="0" collapsed="false">
      <c r="A54" s="1" t="s">
        <v>310</v>
      </c>
      <c r="B54" s="14" t="s">
        <v>38</v>
      </c>
      <c r="D54" s="33" t="n">
        <f aca="false">D53*Inputs!$C$67</f>
        <v>6.012875</v>
      </c>
      <c r="E54" s="33" t="n">
        <f aca="false">E53*Inputs!$C$67</f>
        <v>7.36593</v>
      </c>
      <c r="F54" s="33" t="n">
        <f aca="false">F53*Inputs!$C$67</f>
        <v>9.65995385625</v>
      </c>
      <c r="G54" s="33" t="n">
        <f aca="false">G53*Inputs!$C$67</f>
        <v>11.6209553425313</v>
      </c>
      <c r="H54" s="33" t="n">
        <f aca="false">H53*Inputs!$C$67</f>
        <v>14.3960227832597</v>
      </c>
    </row>
    <row r="56" customFormat="false" ht="15" hidden="false" customHeight="false" outlineLevel="0" collapsed="false">
      <c r="A56" s="3" t="s">
        <v>311</v>
      </c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false" outlineLevel="0" collapsed="false">
      <c r="A57" s="5" t="s">
        <v>202</v>
      </c>
      <c r="B57" s="14" t="s">
        <v>38</v>
      </c>
      <c r="C57" s="17" t="n">
        <f aca="false">C14*Inputs!$C$66</f>
        <v>33</v>
      </c>
      <c r="D57" s="17" t="n">
        <f aca="false">D14*Inputs!$C$66</f>
        <v>36.3</v>
      </c>
      <c r="E57" s="17" t="n">
        <f aca="false">E14*Inputs!$C$66</f>
        <v>46.6994</v>
      </c>
      <c r="F57" s="17" t="n">
        <f aca="false">F14*Inputs!$C$66</f>
        <v>56.024551</v>
      </c>
      <c r="G57" s="17" t="n">
        <f aca="false">G14*Inputs!$C$66</f>
        <v>61.989851165</v>
      </c>
      <c r="H57" s="17" t="n">
        <f aca="false">H14*Inputs!$C$66</f>
        <v>68.37336767635</v>
      </c>
    </row>
    <row r="58" customFormat="false" ht="15" hidden="false" customHeight="false" outlineLevel="0" collapsed="false">
      <c r="A58" s="5" t="s">
        <v>312</v>
      </c>
      <c r="B58" s="14" t="s">
        <v>38</v>
      </c>
      <c r="D58" s="17" t="n">
        <f aca="false">(IF(AND(INDEX(Inputs!$D$57:$F$57,$C$3)=1,D$7=Inputs!$D$74),Inputs!$D$75,0)+IF(AND(INDEX(Inputs!$D$58:$F$58,$C$3)=1,D$7=Inputs!$E$74),Inputs!$E$75,0))*Inputs!$C$66</f>
        <v>0</v>
      </c>
      <c r="E58" s="17" t="n">
        <f aca="false">(IF(AND(INDEX(Inputs!$D$57:$F$57,$C$3)=1,E$7=Inputs!$D$74),Inputs!$D$75,0)+IF(AND(INDEX(Inputs!$D$58:$F$58,$C$3)=1,E$7=Inputs!$E$74),Inputs!$E$75,0))*Inputs!$C$66</f>
        <v>6.16</v>
      </c>
      <c r="F58" s="17" t="n">
        <f aca="false">(IF(AND(INDEX(Inputs!$D$57:$F$57,$C$3)=1,F$7=Inputs!$D$74),Inputs!$D$75,0)+IF(AND(INDEX(Inputs!$D$58:$F$58,$C$3)=1,F$7=Inputs!$E$74),Inputs!$E$75,0))*Inputs!$C$66</f>
        <v>3.96</v>
      </c>
      <c r="G58" s="17" t="n">
        <f aca="false">(IF(AND(INDEX(Inputs!$D$57:$F$57,$C$3)=1,G$7=Inputs!$D$74),Inputs!$D$75,0)+IF(AND(INDEX(Inputs!$D$58:$F$58,$C$3)=1,G$7=Inputs!$E$74),Inputs!$E$75,0))*Inputs!$C$66</f>
        <v>0</v>
      </c>
      <c r="H58" s="17" t="n">
        <f aca="false">(IF(AND(INDEX(Inputs!$D$57:$F$57,$C$3)=1,H$7=Inputs!$D$74),Inputs!$D$75,0)+IF(AND(INDEX(Inputs!$D$58:$F$58,$C$3)=1,H$7=Inputs!$E$74),Inputs!$E$75,0))*Inputs!$C$66</f>
        <v>0</v>
      </c>
    </row>
    <row r="60" customFormat="false" ht="15" hidden="false" customHeight="false" outlineLevel="0" collapsed="false">
      <c r="A60" s="3" t="s">
        <v>313</v>
      </c>
      <c r="B60" s="4"/>
      <c r="C60" s="4"/>
      <c r="D60" s="4"/>
      <c r="E60" s="4"/>
      <c r="F60" s="4"/>
      <c r="G60" s="4"/>
      <c r="H60" s="4"/>
      <c r="I60" s="4"/>
    </row>
    <row r="61" customFormat="false" ht="15" hidden="false" customHeight="false" outlineLevel="0" collapsed="false">
      <c r="A61" s="5" t="s">
        <v>314</v>
      </c>
      <c r="B61" s="14" t="s">
        <v>38</v>
      </c>
      <c r="D61" s="17" t="n">
        <f aca="false">C63</f>
        <v>240</v>
      </c>
      <c r="E61" s="17" t="n">
        <f aca="false">D63</f>
        <v>235.541625</v>
      </c>
      <c r="F61" s="17" t="n">
        <f aca="false">E63</f>
        <v>225.0773482875</v>
      </c>
      <c r="G61" s="17" t="n">
        <f aca="false">F63</f>
        <v>225.0773482875</v>
      </c>
      <c r="H61" s="17" t="n">
        <f aca="false">G63</f>
        <v>213.011310543014</v>
      </c>
    </row>
    <row r="62" customFormat="false" ht="15" hidden="false" customHeight="false" outlineLevel="0" collapsed="false">
      <c r="A62" s="5" t="s">
        <v>315</v>
      </c>
      <c r="B62" s="14" t="s">
        <v>38</v>
      </c>
      <c r="D62" s="17" t="n">
        <f aca="false">D77</f>
        <v>-4.458375</v>
      </c>
      <c r="E62" s="17" t="n">
        <f aca="false">E77</f>
        <v>-10.4642767125</v>
      </c>
      <c r="F62" s="17" t="n">
        <f aca="false">F77</f>
        <v>-0</v>
      </c>
      <c r="G62" s="17" t="n">
        <f aca="false">G77</f>
        <v>-12.0660377444861</v>
      </c>
      <c r="H62" s="17" t="n">
        <f aca="false">H77</f>
        <v>-37.8027181345743</v>
      </c>
    </row>
    <row r="63" customFormat="false" ht="15" hidden="false" customHeight="false" outlineLevel="0" collapsed="false">
      <c r="A63" s="1" t="s">
        <v>316</v>
      </c>
      <c r="B63" s="14" t="s">
        <v>38</v>
      </c>
      <c r="C63" s="44" t="n">
        <f aca="false">Inputs!$C$29</f>
        <v>240</v>
      </c>
      <c r="D63" s="33" t="n">
        <f aca="false">D61+D62</f>
        <v>235.541625</v>
      </c>
      <c r="E63" s="33" t="n">
        <f aca="false">E61+E62</f>
        <v>225.0773482875</v>
      </c>
      <c r="F63" s="33" t="n">
        <f aca="false">F61+F62</f>
        <v>225.0773482875</v>
      </c>
      <c r="G63" s="33" t="n">
        <f aca="false">G61+G62</f>
        <v>213.011310543014</v>
      </c>
      <c r="H63" s="33" t="n">
        <f aca="false">H61+H62</f>
        <v>175.20859240844</v>
      </c>
    </row>
    <row r="64" customFormat="false" ht="15" hidden="false" customHeight="false" outlineLevel="0" collapsed="false">
      <c r="A64" s="5" t="s">
        <v>317</v>
      </c>
      <c r="B64" s="14" t="s">
        <v>38</v>
      </c>
      <c r="D64" s="17" t="n">
        <f aca="false">C66</f>
        <v>0</v>
      </c>
      <c r="E64" s="17" t="n">
        <f aca="false">D66</f>
        <v>0</v>
      </c>
      <c r="F64" s="17" t="n">
        <f aca="false">E66</f>
        <v>50.7584</v>
      </c>
      <c r="G64" s="17" t="n">
        <f aca="false">F66</f>
        <v>87.8384</v>
      </c>
      <c r="H64" s="17" t="n">
        <f aca="false">G66</f>
        <v>87.8384</v>
      </c>
    </row>
    <row r="65" customFormat="false" ht="15" hidden="false" customHeight="false" outlineLevel="0" collapsed="false">
      <c r="A65" s="5" t="s">
        <v>318</v>
      </c>
      <c r="B65" s="14" t="s">
        <v>38</v>
      </c>
      <c r="D65" s="17" t="n">
        <f aca="false">MIN(-D39,Inputs!$C$31-D64)</f>
        <v>0</v>
      </c>
      <c r="E65" s="17" t="n">
        <f aca="false">MIN(-E39,Inputs!$C$31-E64)</f>
        <v>50.7584</v>
      </c>
      <c r="F65" s="17" t="n">
        <f aca="false">MIN(-F39,Inputs!$C$31-F64)</f>
        <v>37.08</v>
      </c>
      <c r="G65" s="17" t="n">
        <f aca="false">MIN(-G39,Inputs!$C$31-G64)</f>
        <v>0</v>
      </c>
      <c r="H65" s="17" t="n">
        <f aca="false">MIN(-H39,Inputs!$C$31-H64)</f>
        <v>0</v>
      </c>
      <c r="I65" s="15" t="s">
        <v>319</v>
      </c>
    </row>
    <row r="66" customFormat="false" ht="15" hidden="false" customHeight="false" outlineLevel="0" collapsed="false">
      <c r="A66" s="1" t="s">
        <v>320</v>
      </c>
      <c r="B66" s="14" t="s">
        <v>38</v>
      </c>
      <c r="C66" s="45" t="n">
        <v>0</v>
      </c>
      <c r="D66" s="33" t="n">
        <f aca="false">D64+D65</f>
        <v>0</v>
      </c>
      <c r="E66" s="33" t="n">
        <f aca="false">E64+E65</f>
        <v>50.7584</v>
      </c>
      <c r="F66" s="33" t="n">
        <f aca="false">F64+F65</f>
        <v>87.8384</v>
      </c>
      <c r="G66" s="33" t="n">
        <f aca="false">G64+G65</f>
        <v>87.8384</v>
      </c>
      <c r="H66" s="33" t="n">
        <f aca="false">H64+H65</f>
        <v>87.8384</v>
      </c>
    </row>
    <row r="67" customFormat="false" ht="15" hidden="false" customHeight="false" outlineLevel="0" collapsed="false">
      <c r="A67" s="5" t="s">
        <v>321</v>
      </c>
      <c r="B67" s="14" t="s">
        <v>38</v>
      </c>
      <c r="D67" s="17" t="n">
        <f aca="false">C70</f>
        <v>0</v>
      </c>
      <c r="E67" s="17" t="n">
        <f aca="false">D70</f>
        <v>0</v>
      </c>
      <c r="F67" s="17" t="n">
        <f aca="false">E70</f>
        <v>0</v>
      </c>
      <c r="G67" s="17" t="n">
        <f aca="false">F70</f>
        <v>18.7591094656563</v>
      </c>
      <c r="H67" s="17" t="n">
        <f aca="false">G70</f>
        <v>0</v>
      </c>
    </row>
    <row r="68" customFormat="false" ht="15" hidden="false" customHeight="false" outlineLevel="0" collapsed="false">
      <c r="A68" s="5" t="s">
        <v>322</v>
      </c>
      <c r="B68" s="14" t="s">
        <v>38</v>
      </c>
      <c r="D68" s="17" t="n">
        <f aca="false">MIN(MAX(0,Inputs!$C$17-D74),Inputs!$C$32-D67)</f>
        <v>0</v>
      </c>
      <c r="E68" s="17" t="n">
        <f aca="false">MIN(MAX(0,Inputs!$C$17-E74),Inputs!$C$32-E67)</f>
        <v>0</v>
      </c>
      <c r="F68" s="17" t="n">
        <f aca="false">MIN(MAX(0,Inputs!$C$17-F74),Inputs!$C$32-F67)</f>
        <v>18.7591094656563</v>
      </c>
      <c r="G68" s="17" t="n">
        <f aca="false">MIN(MAX(0,Inputs!$C$17-G74),Inputs!$C$32-G67)</f>
        <v>0</v>
      </c>
      <c r="H68" s="17" t="n">
        <f aca="false">MIN(MAX(0,Inputs!$C$17-H74),Inputs!$C$32-H67)</f>
        <v>0</v>
      </c>
    </row>
    <row r="69" customFormat="false" ht="15" hidden="false" customHeight="false" outlineLevel="0" collapsed="false">
      <c r="A69" s="5" t="s">
        <v>323</v>
      </c>
      <c r="B69" s="14" t="s">
        <v>38</v>
      </c>
      <c r="D69" s="17" t="n">
        <f aca="false">-MIN(D67,MAX(0,D74-Inputs!$C$17))</f>
        <v>-0</v>
      </c>
      <c r="E69" s="17" t="n">
        <f aca="false">-MIN(E67,MAX(0,E74-Inputs!$C$17))</f>
        <v>-0</v>
      </c>
      <c r="F69" s="17" t="n">
        <f aca="false">-MIN(F67,MAX(0,F74-Inputs!$C$17))</f>
        <v>-0</v>
      </c>
      <c r="G69" s="17" t="n">
        <f aca="false">-MIN(G67,MAX(0,G74-Inputs!$C$17))</f>
        <v>-18.7591094656563</v>
      </c>
      <c r="H69" s="17" t="n">
        <f aca="false">-MIN(H67,MAX(0,H74-Inputs!$C$17))</f>
        <v>-0</v>
      </c>
    </row>
    <row r="70" customFormat="false" ht="15" hidden="false" customHeight="false" outlineLevel="0" collapsed="false">
      <c r="A70" s="1" t="s">
        <v>324</v>
      </c>
      <c r="B70" s="14" t="s">
        <v>38</v>
      </c>
      <c r="C70" s="45" t="n">
        <v>0</v>
      </c>
      <c r="D70" s="33" t="n">
        <f aca="false">D67+D68+D69</f>
        <v>0</v>
      </c>
      <c r="E70" s="33" t="n">
        <f aca="false">E67+E68+E69</f>
        <v>0</v>
      </c>
      <c r="F70" s="33" t="n">
        <f aca="false">F67+F68+F69</f>
        <v>18.7591094656563</v>
      </c>
      <c r="G70" s="33" t="n">
        <f aca="false">G67+G68+G69</f>
        <v>0</v>
      </c>
      <c r="H70" s="33" t="n">
        <f aca="false">H67+H68+H69</f>
        <v>0</v>
      </c>
    </row>
    <row r="71" customFormat="false" ht="15" hidden="false" customHeight="false" outlineLevel="0" collapsed="false">
      <c r="A71" s="5" t="s">
        <v>325</v>
      </c>
      <c r="B71" s="14" t="s">
        <v>38</v>
      </c>
      <c r="D71" s="17" t="n">
        <f aca="false">C78</f>
        <v>10</v>
      </c>
      <c r="E71" s="17" t="n">
        <f aca="false">D78</f>
        <v>10</v>
      </c>
      <c r="F71" s="17" t="n">
        <f aca="false">E78</f>
        <v>10</v>
      </c>
      <c r="G71" s="17" t="n">
        <f aca="false">F78</f>
        <v>10</v>
      </c>
      <c r="H71" s="17" t="n">
        <f aca="false">G78</f>
        <v>10</v>
      </c>
    </row>
    <row r="72" customFormat="false" ht="15" hidden="false" customHeight="false" outlineLevel="0" collapsed="false">
      <c r="A72" s="5" t="s">
        <v>299</v>
      </c>
      <c r="B72" s="14" t="s">
        <v>38</v>
      </c>
      <c r="D72" s="17" t="n">
        <f aca="false">D40</f>
        <v>4.458375</v>
      </c>
      <c r="E72" s="17" t="n">
        <f aca="false">E40</f>
        <v>-40.2941232875</v>
      </c>
      <c r="F72" s="17" t="n">
        <f aca="false">F40</f>
        <v>-55.8391094656563</v>
      </c>
      <c r="G72" s="17" t="n">
        <f aca="false">G40</f>
        <v>30.8251472101423</v>
      </c>
      <c r="H72" s="17" t="n">
        <f aca="false">H40</f>
        <v>37.8027181345743</v>
      </c>
    </row>
    <row r="73" customFormat="false" ht="15" hidden="false" customHeight="false" outlineLevel="0" collapsed="false">
      <c r="A73" s="5" t="s">
        <v>326</v>
      </c>
      <c r="B73" s="14" t="s">
        <v>38</v>
      </c>
      <c r="D73" s="17" t="n">
        <f aca="false">D65</f>
        <v>0</v>
      </c>
      <c r="E73" s="17" t="n">
        <f aca="false">E65</f>
        <v>50.7584</v>
      </c>
      <c r="F73" s="17" t="n">
        <f aca="false">F65</f>
        <v>37.08</v>
      </c>
      <c r="G73" s="17" t="n">
        <f aca="false">G65</f>
        <v>0</v>
      </c>
      <c r="H73" s="17" t="n">
        <f aca="false">H65</f>
        <v>0</v>
      </c>
    </row>
    <row r="74" customFormat="false" ht="15" hidden="false" customHeight="false" outlineLevel="0" collapsed="false">
      <c r="A74" s="1" t="s">
        <v>327</v>
      </c>
      <c r="B74" s="14" t="s">
        <v>38</v>
      </c>
      <c r="D74" s="33" t="n">
        <f aca="false">D71+D72+D73</f>
        <v>14.458375</v>
      </c>
      <c r="E74" s="33" t="n">
        <f aca="false">E71+E72+E73</f>
        <v>20.4642767125</v>
      </c>
      <c r="F74" s="33" t="n">
        <f aca="false">F71+F72+F73</f>
        <v>-8.75910946565625</v>
      </c>
      <c r="G74" s="33" t="n">
        <f aca="false">G71+G72+G73</f>
        <v>40.8251472101423</v>
      </c>
      <c r="H74" s="33" t="n">
        <f aca="false">H71+H72+H73</f>
        <v>47.8027181345743</v>
      </c>
    </row>
    <row r="75" customFormat="false" ht="15" hidden="false" customHeight="false" outlineLevel="0" collapsed="false">
      <c r="A75" s="5" t="s">
        <v>328</v>
      </c>
      <c r="B75" s="14" t="s">
        <v>38</v>
      </c>
      <c r="D75" s="17" t="n">
        <f aca="false">D68+D69</f>
        <v>0</v>
      </c>
      <c r="E75" s="17" t="n">
        <f aca="false">E68+E69</f>
        <v>0</v>
      </c>
      <c r="F75" s="17" t="n">
        <f aca="false">F68+F69</f>
        <v>18.7591094656563</v>
      </c>
      <c r="G75" s="17" t="n">
        <f aca="false">G68+G69</f>
        <v>-18.7591094656563</v>
      </c>
      <c r="H75" s="17" t="n">
        <f aca="false">H68+H69</f>
        <v>0</v>
      </c>
    </row>
    <row r="76" customFormat="false" ht="15" hidden="false" customHeight="false" outlineLevel="0" collapsed="false">
      <c r="A76" s="1" t="s">
        <v>329</v>
      </c>
      <c r="B76" s="14" t="s">
        <v>38</v>
      </c>
      <c r="D76" s="33" t="n">
        <f aca="false">D74+D75</f>
        <v>14.458375</v>
      </c>
      <c r="E76" s="33" t="n">
        <f aca="false">E74+E75</f>
        <v>20.4642767125</v>
      </c>
      <c r="F76" s="33" t="n">
        <f aca="false">F74+F75</f>
        <v>10</v>
      </c>
      <c r="G76" s="33" t="n">
        <f aca="false">G74+G75</f>
        <v>22.0660377444861</v>
      </c>
      <c r="H76" s="33" t="n">
        <f aca="false">H74+H75</f>
        <v>47.8027181345743</v>
      </c>
    </row>
    <row r="77" customFormat="false" ht="15" hidden="false" customHeight="false" outlineLevel="0" collapsed="false">
      <c r="A77" s="5" t="s">
        <v>330</v>
      </c>
      <c r="B77" s="14" t="s">
        <v>38</v>
      </c>
      <c r="D77" s="17" t="n">
        <f aca="false">-MIN(D61,MAX(0,D76-Inputs!$C$17)*Inputs!$C$40)</f>
        <v>-4.458375</v>
      </c>
      <c r="E77" s="17" t="n">
        <f aca="false">-MIN(E61,MAX(0,E76-Inputs!$C$17)*Inputs!$C$40)</f>
        <v>-10.4642767125</v>
      </c>
      <c r="F77" s="17" t="n">
        <f aca="false">-MIN(F61,MAX(0,F76-Inputs!$C$17)*Inputs!$C$40)</f>
        <v>-0</v>
      </c>
      <c r="G77" s="17" t="n">
        <f aca="false">-MIN(G61,MAX(0,G76-Inputs!$C$17)*Inputs!$C$40)</f>
        <v>-12.0660377444861</v>
      </c>
      <c r="H77" s="17" t="n">
        <f aca="false">-MIN(H61,MAX(0,H76-Inputs!$C$17)*Inputs!$C$40)</f>
        <v>-37.8027181345743</v>
      </c>
      <c r="I77" s="15" t="s">
        <v>331</v>
      </c>
    </row>
    <row r="78" customFormat="false" ht="15" hidden="false" customHeight="false" outlineLevel="0" collapsed="false">
      <c r="A78" s="1" t="s">
        <v>332</v>
      </c>
      <c r="B78" s="14" t="s">
        <v>38</v>
      </c>
      <c r="C78" s="44" t="n">
        <f aca="false">Inputs!$C$17</f>
        <v>10</v>
      </c>
      <c r="D78" s="33" t="n">
        <f aca="false">D76+D77</f>
        <v>10</v>
      </c>
      <c r="E78" s="33" t="n">
        <f aca="false">E76+E77</f>
        <v>10</v>
      </c>
      <c r="F78" s="33" t="n">
        <f aca="false">F76+F77</f>
        <v>10</v>
      </c>
      <c r="G78" s="33" t="n">
        <f aca="false">G76+G77</f>
        <v>10</v>
      </c>
      <c r="H78" s="33" t="n">
        <f aca="false">H76+H77</f>
        <v>10</v>
      </c>
    </row>
    <row r="80" customFormat="false" ht="15" hidden="false" customHeight="false" outlineLevel="0" collapsed="false">
      <c r="A80" s="3" t="s">
        <v>333</v>
      </c>
      <c r="B80" s="4"/>
      <c r="C80" s="4"/>
      <c r="D80" s="4"/>
      <c r="E80" s="4"/>
      <c r="F80" s="4"/>
      <c r="G80" s="4"/>
      <c r="H80" s="4"/>
      <c r="I80" s="4"/>
    </row>
    <row r="81" customFormat="false" ht="15" hidden="false" customHeight="false" outlineLevel="0" collapsed="false">
      <c r="A81" s="5" t="s">
        <v>334</v>
      </c>
      <c r="B81" s="14" t="s">
        <v>38</v>
      </c>
      <c r="D81" s="17" t="n">
        <f aca="false">D61*(Inputs!$C$34+Inputs!$C$35)</f>
        <v>16.2</v>
      </c>
      <c r="E81" s="17" t="n">
        <f aca="false">E61*(Inputs!$C$34+Inputs!$C$35)</f>
        <v>15.8990596875</v>
      </c>
      <c r="F81" s="17" t="n">
        <f aca="false">F61*(Inputs!$C$34+Inputs!$C$35)</f>
        <v>15.1927210094063</v>
      </c>
      <c r="G81" s="17" t="n">
        <f aca="false">G61*(Inputs!$C$34+Inputs!$C$35)</f>
        <v>15.1927210094063</v>
      </c>
      <c r="H81" s="17" t="n">
        <f aca="false">H61*(Inputs!$C$34+Inputs!$C$35)</f>
        <v>14.3782634616534</v>
      </c>
    </row>
    <row r="82" customFormat="false" ht="15" hidden="false" customHeight="false" outlineLevel="0" collapsed="false">
      <c r="A82" s="5" t="s">
        <v>335</v>
      </c>
      <c r="B82" s="14" t="s">
        <v>38</v>
      </c>
      <c r="D82" s="17" t="n">
        <f aca="false">(D64+D65)*(Inputs!$C$34+Inputs!$C$36)</f>
        <v>0</v>
      </c>
      <c r="E82" s="17" t="n">
        <f aca="false">(E64+E65)*(Inputs!$C$34+Inputs!$C$36)</f>
        <v>3.426192</v>
      </c>
      <c r="F82" s="17" t="n">
        <f aca="false">(F64+F65)*(Inputs!$C$34+Inputs!$C$36)</f>
        <v>5.929092</v>
      </c>
      <c r="G82" s="17" t="n">
        <f aca="false">(G64+G65)*(Inputs!$C$34+Inputs!$C$36)</f>
        <v>5.929092</v>
      </c>
      <c r="H82" s="17" t="n">
        <f aca="false">(H64+H65)*(Inputs!$C$34+Inputs!$C$36)</f>
        <v>5.929092</v>
      </c>
    </row>
    <row r="83" customFormat="false" ht="15" hidden="false" customHeight="false" outlineLevel="0" collapsed="false">
      <c r="A83" s="5" t="s">
        <v>336</v>
      </c>
      <c r="B83" s="14" t="s">
        <v>38</v>
      </c>
      <c r="D83" s="17" t="n">
        <f aca="false">D67*(Inputs!$C$34+Inputs!$C$37)</f>
        <v>0</v>
      </c>
      <c r="E83" s="17" t="n">
        <f aca="false">E67*(Inputs!$C$34+Inputs!$C$37)</f>
        <v>0</v>
      </c>
      <c r="F83" s="17" t="n">
        <f aca="false">F67*(Inputs!$C$34+Inputs!$C$37)</f>
        <v>0</v>
      </c>
      <c r="G83" s="17" t="n">
        <f aca="false">G67*(Inputs!$C$34+Inputs!$C$37)</f>
        <v>1.12554656793938</v>
      </c>
      <c r="H83" s="17" t="n">
        <f aca="false">H67*(Inputs!$C$34+Inputs!$C$37)</f>
        <v>0</v>
      </c>
    </row>
    <row r="84" customFormat="false" ht="15" hidden="false" customHeight="false" outlineLevel="0" collapsed="false">
      <c r="A84" s="5" t="s">
        <v>337</v>
      </c>
      <c r="B84" s="14" t="s">
        <v>38</v>
      </c>
      <c r="D84" s="17" t="n">
        <f aca="false">Inputs!$C$38*(Inputs!$C$36*(Inputs!$C$31-D64-D65)+Inputs!$C$37*(Inputs!$C$32-D67))</f>
        <v>2.24875</v>
      </c>
      <c r="E84" s="17" t="n">
        <f aca="false">Inputs!$C$38*(Inputs!$C$36*(Inputs!$C$31-E64-E65)+Inputs!$C$37*(Inputs!$C$32-E67))</f>
        <v>1.4048916</v>
      </c>
      <c r="F84" s="17" t="n">
        <f aca="false">Inputs!$C$38*(Inputs!$C$36*(Inputs!$C$31-F64-F65)+Inputs!$C$37*(Inputs!$C$32-F67))</f>
        <v>0.7884366</v>
      </c>
      <c r="G84" s="17" t="n">
        <f aca="false">Inputs!$C$38*(Inputs!$C$36*(Inputs!$C$31-G64-G65)+Inputs!$C$37*(Inputs!$C$32-G67))</f>
        <v>0.525809067480812</v>
      </c>
      <c r="H84" s="17" t="n">
        <f aca="false">Inputs!$C$38*(Inputs!$C$36*(Inputs!$C$31-H64-H65)+Inputs!$C$37*(Inputs!$C$32-H67))</f>
        <v>0.7884366</v>
      </c>
    </row>
    <row r="85" customFormat="false" ht="15" hidden="false" customHeight="false" outlineLevel="0" collapsed="false">
      <c r="A85" s="5" t="s">
        <v>88</v>
      </c>
      <c r="B85" s="14" t="s">
        <v>38</v>
      </c>
      <c r="D85" s="17" t="n">
        <f aca="false">-D71*Inputs!$C$39</f>
        <v>-0.15</v>
      </c>
      <c r="E85" s="17" t="n">
        <f aca="false">-E71*Inputs!$C$39</f>
        <v>-0.15</v>
      </c>
      <c r="F85" s="17" t="n">
        <f aca="false">-F71*Inputs!$C$39</f>
        <v>-0.15</v>
      </c>
      <c r="G85" s="17" t="n">
        <f aca="false">-G71*Inputs!$C$39</f>
        <v>-0.15</v>
      </c>
      <c r="H85" s="17" t="n">
        <f aca="false">-H71*Inputs!$C$39</f>
        <v>-0.15</v>
      </c>
    </row>
    <row r="86" customFormat="false" ht="15" hidden="false" customHeight="false" outlineLevel="0" collapsed="false">
      <c r="A86" s="1" t="s">
        <v>295</v>
      </c>
      <c r="B86" s="14" t="s">
        <v>38</v>
      </c>
      <c r="D86" s="33" t="n">
        <f aca="false">SUM(D81:D85)</f>
        <v>18.29875</v>
      </c>
      <c r="E86" s="33" t="n">
        <f aca="false">SUM(E81:E85)</f>
        <v>20.5801432875</v>
      </c>
      <c r="F86" s="33" t="n">
        <f aca="false">SUM(F81:F85)</f>
        <v>21.7602496094063</v>
      </c>
      <c r="G86" s="33" t="n">
        <f aca="false">SUM(G81:G85)</f>
        <v>22.6231686448264</v>
      </c>
      <c r="H86" s="33" t="n">
        <f aca="false">SUM(H81:H85)</f>
        <v>20.9457920616534</v>
      </c>
    </row>
    <row r="88" customFormat="false" ht="15" hidden="false" customHeight="false" outlineLevel="0" collapsed="false">
      <c r="A88" s="3" t="s">
        <v>338</v>
      </c>
      <c r="B88" s="4"/>
      <c r="C88" s="4"/>
      <c r="D88" s="4"/>
      <c r="E88" s="4"/>
      <c r="F88" s="4"/>
      <c r="G88" s="4"/>
      <c r="H88" s="4"/>
      <c r="I88" s="4"/>
    </row>
    <row r="89" customFormat="false" ht="15" hidden="false" customHeight="false" outlineLevel="0" collapsed="false">
      <c r="A89" s="5" t="s">
        <v>339</v>
      </c>
      <c r="B89" s="14" t="s">
        <v>38</v>
      </c>
      <c r="C89" s="17" t="n">
        <f aca="false">C63+C66+C70</f>
        <v>240</v>
      </c>
      <c r="D89" s="17" t="n">
        <f aca="false">D63+D66+D70</f>
        <v>235.541625</v>
      </c>
      <c r="E89" s="17" t="n">
        <f aca="false">E63+E66+E70</f>
        <v>275.8357482875</v>
      </c>
      <c r="F89" s="17" t="n">
        <f aca="false">F63+F66+F70</f>
        <v>331.674857753156</v>
      </c>
      <c r="G89" s="17" t="n">
        <f aca="false">G63+G66+G70</f>
        <v>300.849710543014</v>
      </c>
      <c r="H89" s="17" t="n">
        <f aca="false">H63+H66+H70</f>
        <v>263.04699240844</v>
      </c>
    </row>
    <row r="90" customFormat="false" ht="15" hidden="false" customHeight="false" outlineLevel="0" collapsed="false">
      <c r="A90" s="1" t="s">
        <v>340</v>
      </c>
      <c r="B90" s="14" t="s">
        <v>38</v>
      </c>
      <c r="C90" s="33" t="n">
        <f aca="false">C89-C78</f>
        <v>230</v>
      </c>
      <c r="D90" s="33" t="n">
        <f aca="false">D89-D78</f>
        <v>225.541625</v>
      </c>
      <c r="E90" s="33" t="n">
        <f aca="false">E89-E78</f>
        <v>265.8357482875</v>
      </c>
      <c r="F90" s="33" t="n">
        <f aca="false">F89-F78</f>
        <v>321.674857753156</v>
      </c>
      <c r="G90" s="33" t="n">
        <f aca="false">G89-G78</f>
        <v>290.849710543014</v>
      </c>
      <c r="H90" s="33" t="n">
        <f aca="false">H89-H78</f>
        <v>253.04699240844</v>
      </c>
    </row>
    <row r="91" customFormat="false" ht="15" hidden="false" customHeight="false" outlineLevel="0" collapsed="false">
      <c r="A91" s="5" t="s">
        <v>341</v>
      </c>
      <c r="B91" s="14" t="s">
        <v>44</v>
      </c>
      <c r="C91" s="18" t="n">
        <f aca="false">C90/C24</f>
        <v>5.75</v>
      </c>
      <c r="D91" s="18" t="n">
        <f aca="false">D90/D24</f>
        <v>4.88767201213566</v>
      </c>
      <c r="E91" s="18" t="n">
        <f aca="false">E90/E24</f>
        <v>4.37053015206841</v>
      </c>
      <c r="F91" s="18" t="n">
        <f aca="false">F90/F24</f>
        <v>4.25876751191404</v>
      </c>
      <c r="G91" s="18" t="n">
        <f aca="false">G90/G24</f>
        <v>3.36117963003427</v>
      </c>
      <c r="H91" s="18" t="n">
        <f aca="false">H90/H24</f>
        <v>2.61895413340577</v>
      </c>
    </row>
    <row r="92" customFormat="false" ht="15" hidden="false" customHeight="false" outlineLevel="0" collapsed="false">
      <c r="A92" s="5" t="s">
        <v>342</v>
      </c>
      <c r="B92" s="14" t="s">
        <v>44</v>
      </c>
      <c r="D92" s="18" t="n">
        <f aca="false">D24/D86</f>
        <v>2.52175695061138</v>
      </c>
      <c r="E92" s="18" t="n">
        <f aca="false">E24/E86</f>
        <v>2.95549934469814</v>
      </c>
      <c r="F92" s="18" t="n">
        <f aca="false">F24/F86</f>
        <v>3.47111747823655</v>
      </c>
      <c r="G92" s="18" t="n">
        <f aca="false">G24/G86</f>
        <v>3.82492989873629</v>
      </c>
      <c r="H92" s="18" t="n">
        <f aca="false">H24/H86</f>
        <v>4.61292612499552</v>
      </c>
    </row>
    <row r="93" customFormat="false" ht="15" hidden="false" customHeight="false" outlineLevel="0" collapsed="false">
      <c r="A93" s="5" t="s">
        <v>343</v>
      </c>
      <c r="B93" s="14" t="s">
        <v>54</v>
      </c>
      <c r="C93" s="28" t="n">
        <f aca="false">1-C91/Inputs!$C$41</f>
        <v>0.303030303030303</v>
      </c>
      <c r="D93" s="28" t="n">
        <f aca="false">1-D91/Inputs!$C$41</f>
        <v>0.40755490761992</v>
      </c>
      <c r="E93" s="28" t="n">
        <f aca="false">1-E91/Inputs!$C$41</f>
        <v>0.470238769446254</v>
      </c>
      <c r="F93" s="28" t="n">
        <f aca="false">1-F91/Inputs!$C$41</f>
        <v>0.483785756131632</v>
      </c>
      <c r="G93" s="28" t="n">
        <f aca="false">1-G91/Inputs!$C$41</f>
        <v>0.592584287268574</v>
      </c>
      <c r="H93" s="28" t="n">
        <f aca="false">1-H91/Inputs!$C$41</f>
        <v>0.682551014132634</v>
      </c>
      <c r="I93" s="15" t="s">
        <v>344</v>
      </c>
    </row>
    <row r="94" customFormat="false" ht="15" hidden="false" customHeight="false" outlineLevel="0" collapsed="false">
      <c r="A94" s="34" t="s">
        <v>345</v>
      </c>
      <c r="B94" s="14" t="s">
        <v>38</v>
      </c>
      <c r="D94" s="39" t="n">
        <f aca="false">D90-(C90-D40)</f>
        <v>0</v>
      </c>
      <c r="E94" s="39" t="n">
        <f aca="false">E90-(D90-E40)</f>
        <v>0</v>
      </c>
      <c r="F94" s="39" t="n">
        <f aca="false">F90-(E90-F40)</f>
        <v>0</v>
      </c>
      <c r="G94" s="39" t="n">
        <f aca="false">G90-(F90-G40)</f>
        <v>0</v>
      </c>
      <c r="H94" s="39" t="n">
        <f aca="false">H90-(G90-H40)</f>
        <v>0</v>
      </c>
    </row>
    <row r="96" customFormat="false" ht="15" hidden="false" customHeight="false" outlineLevel="0" collapsed="false">
      <c r="A96" s="3" t="s">
        <v>346</v>
      </c>
      <c r="B96" s="4"/>
      <c r="C96" s="4"/>
      <c r="D96" s="4"/>
      <c r="E96" s="4"/>
      <c r="F96" s="4"/>
      <c r="G96" s="4"/>
      <c r="H96" s="4"/>
      <c r="I96" s="4"/>
    </row>
    <row r="97" customFormat="false" ht="15" hidden="false" customHeight="false" outlineLevel="0" collapsed="false">
      <c r="A97" s="5" t="s">
        <v>347</v>
      </c>
      <c r="B97" s="14" t="s">
        <v>38</v>
      </c>
      <c r="C97" s="17" t="n">
        <f aca="false">H24</f>
        <v>96.621391409925</v>
      </c>
    </row>
    <row r="98" customFormat="false" ht="15" hidden="false" customHeight="false" outlineLevel="0" collapsed="false">
      <c r="A98" s="5" t="s">
        <v>348</v>
      </c>
      <c r="B98" s="14" t="s">
        <v>44</v>
      </c>
      <c r="C98" s="18" t="n">
        <f aca="false">INDEX(Inputs!$D$59:$F$59,$C$3)</f>
        <v>13.5</v>
      </c>
    </row>
    <row r="99" customFormat="false" ht="15" hidden="false" customHeight="false" outlineLevel="0" collapsed="false">
      <c r="A99" s="5" t="s">
        <v>349</v>
      </c>
      <c r="B99" s="14" t="s">
        <v>38</v>
      </c>
      <c r="C99" s="17" t="n">
        <f aca="false">C97*C98</f>
        <v>1304.38878403399</v>
      </c>
    </row>
    <row r="100" customFormat="false" ht="15" hidden="false" customHeight="false" outlineLevel="0" collapsed="false">
      <c r="A100" s="5" t="s">
        <v>350</v>
      </c>
      <c r="B100" s="14" t="s">
        <v>38</v>
      </c>
      <c r="C100" s="17" t="n">
        <f aca="false">-C99*Inputs!$C$70</f>
        <v>-19.5658317605098</v>
      </c>
    </row>
    <row r="101" customFormat="false" ht="15" hidden="false" customHeight="false" outlineLevel="0" collapsed="false">
      <c r="A101" s="5" t="s">
        <v>351</v>
      </c>
      <c r="B101" s="14" t="s">
        <v>38</v>
      </c>
      <c r="C101" s="17" t="n">
        <f aca="false">-H90</f>
        <v>-253.04699240844</v>
      </c>
    </row>
    <row r="102" customFormat="false" ht="15" hidden="false" customHeight="false" outlineLevel="0" collapsed="false">
      <c r="A102" s="1" t="s">
        <v>352</v>
      </c>
      <c r="B102" s="14" t="s">
        <v>38</v>
      </c>
      <c r="C102" s="33" t="n">
        <f aca="false">SUM(C99:C101)</f>
        <v>1031.77595986504</v>
      </c>
    </row>
    <row r="103" customFormat="false" ht="15" hidden="false" customHeight="false" outlineLevel="0" collapsed="false">
      <c r="A103" s="5" t="s">
        <v>353</v>
      </c>
      <c r="B103" s="14" t="s">
        <v>38</v>
      </c>
      <c r="C103" s="9" t="n">
        <f aca="false">Transaction!$C$20</f>
        <v>328.2</v>
      </c>
      <c r="I103" s="15" t="s">
        <v>354</v>
      </c>
    </row>
    <row r="104" customFormat="false" ht="15" hidden="false" customHeight="false" outlineLevel="0" collapsed="false">
      <c r="A104" s="5" t="s">
        <v>355</v>
      </c>
      <c r="B104" s="14" t="s">
        <v>38</v>
      </c>
      <c r="C104" s="17" t="n">
        <f aca="false">C102-C103</f>
        <v>703.575959865038</v>
      </c>
    </row>
    <row r="105" customFormat="false" ht="15" hidden="false" customHeight="false" outlineLevel="0" collapsed="false">
      <c r="A105" s="5" t="s">
        <v>356</v>
      </c>
      <c r="B105" s="14" t="s">
        <v>38</v>
      </c>
      <c r="C105" s="17" t="n">
        <f aca="false">-Inputs!$C$20*MAX(0,C104)</f>
        <v>-70.3575959865038</v>
      </c>
    </row>
    <row r="106" customFormat="false" ht="15" hidden="false" customHeight="false" outlineLevel="0" collapsed="false">
      <c r="A106" s="1" t="s">
        <v>357</v>
      </c>
      <c r="B106" s="14" t="s">
        <v>38</v>
      </c>
      <c r="C106" s="33" t="n">
        <f aca="false">C102+C105</f>
        <v>961.418363878534</v>
      </c>
    </row>
    <row r="107" customFormat="false" ht="15" hidden="false" customHeight="false" outlineLevel="0" collapsed="false">
      <c r="A107" s="5" t="s">
        <v>358</v>
      </c>
      <c r="B107" s="14" t="s">
        <v>44</v>
      </c>
      <c r="C107" s="41" t="n">
        <f aca="false">C106/C103</f>
        <v>2.92936734880723</v>
      </c>
    </row>
    <row r="108" customFormat="false" ht="15" hidden="false" customHeight="false" outlineLevel="0" collapsed="false">
      <c r="A108" s="5" t="s">
        <v>359</v>
      </c>
      <c r="B108" s="14" t="s">
        <v>38</v>
      </c>
      <c r="C108" s="17" t="n">
        <f aca="false">-C103</f>
        <v>-328.2</v>
      </c>
      <c r="D108" s="19" t="n">
        <v>0</v>
      </c>
      <c r="E108" s="19" t="n">
        <v>0</v>
      </c>
      <c r="F108" s="19" t="n">
        <v>0</v>
      </c>
      <c r="G108" s="19" t="n">
        <v>0</v>
      </c>
      <c r="H108" s="17" t="n">
        <f aca="false">$C$106</f>
        <v>961.418363878534</v>
      </c>
    </row>
    <row r="109" customFormat="false" ht="15" hidden="false" customHeight="false" outlineLevel="0" collapsed="false">
      <c r="A109" s="5" t="s">
        <v>360</v>
      </c>
      <c r="B109" s="14" t="s">
        <v>54</v>
      </c>
      <c r="C109" s="28" t="n">
        <f aca="false">IRR(C108:H108)</f>
        <v>0.239808950490019</v>
      </c>
      <c r="I109" s="15" t="s">
        <v>361</v>
      </c>
    </row>
    <row r="110" customFormat="false" ht="15" hidden="false" customHeight="false" outlineLevel="0" collapsed="false">
      <c r="A110" s="34" t="s">
        <v>362</v>
      </c>
      <c r="B110" s="14" t="s">
        <v>54</v>
      </c>
      <c r="C110" s="35" t="n">
        <f aca="false">C109-(C107^(1/H$6)-1)</f>
        <v>0</v>
      </c>
    </row>
    <row r="112" customFormat="false" ht="15" hidden="false" customHeight="false" outlineLevel="0" collapsed="false">
      <c r="A112" s="3" t="s">
        <v>363</v>
      </c>
      <c r="B112" s="4"/>
      <c r="C112" s="4"/>
      <c r="D112" s="4"/>
      <c r="E112" s="4"/>
      <c r="F112" s="4"/>
      <c r="G112" s="4"/>
      <c r="H112" s="4"/>
      <c r="I112" s="4"/>
    </row>
    <row r="113" customFormat="false" ht="15" hidden="false" customHeight="false" outlineLevel="0" collapsed="false">
      <c r="A113" s="5" t="s">
        <v>349</v>
      </c>
      <c r="B113" s="14" t="s">
        <v>38</v>
      </c>
      <c r="D113" s="17" t="n">
        <f aca="false">D24*$C$98</f>
        <v>622.9575</v>
      </c>
      <c r="E113" s="17" t="n">
        <f aca="false">E24*$C$98</f>
        <v>821.1321</v>
      </c>
      <c r="F113" s="17" t="n">
        <f aca="false">F24*$C$98</f>
        <v>1019.687167125</v>
      </c>
      <c r="G113" s="17" t="n">
        <f aca="false">G24*$C$98</f>
        <v>1168.18246107563</v>
      </c>
      <c r="H113" s="17" t="n">
        <f aca="false">H24*$C$98</f>
        <v>1304.38878403399</v>
      </c>
    </row>
    <row r="114" customFormat="false" ht="15" hidden="false" customHeight="false" outlineLevel="0" collapsed="false">
      <c r="A114" s="5" t="s">
        <v>350</v>
      </c>
      <c r="B114" s="14" t="s">
        <v>38</v>
      </c>
      <c r="D114" s="17" t="n">
        <f aca="false">-D113*Inputs!$C$70</f>
        <v>-9.3443625</v>
      </c>
      <c r="E114" s="17" t="n">
        <f aca="false">-E113*Inputs!$C$70</f>
        <v>-12.3169815</v>
      </c>
      <c r="F114" s="17" t="n">
        <f aca="false">-F113*Inputs!$C$70</f>
        <v>-15.295307506875</v>
      </c>
      <c r="G114" s="17" t="n">
        <f aca="false">-G113*Inputs!$C$70</f>
        <v>-17.5227369161344</v>
      </c>
      <c r="H114" s="17" t="n">
        <f aca="false">-H113*Inputs!$C$70</f>
        <v>-19.5658317605098</v>
      </c>
    </row>
    <row r="115" customFormat="false" ht="15" hidden="false" customHeight="false" outlineLevel="0" collapsed="false">
      <c r="A115" s="5" t="s">
        <v>340</v>
      </c>
      <c r="B115" s="14" t="s">
        <v>38</v>
      </c>
      <c r="D115" s="17" t="n">
        <f aca="false">-D90</f>
        <v>-225.541625</v>
      </c>
      <c r="E115" s="17" t="n">
        <f aca="false">-E90</f>
        <v>-265.8357482875</v>
      </c>
      <c r="F115" s="17" t="n">
        <f aca="false">-F90</f>
        <v>-321.674857753156</v>
      </c>
      <c r="G115" s="17" t="n">
        <f aca="false">-G90</f>
        <v>-290.849710543014</v>
      </c>
      <c r="H115" s="17" t="n">
        <f aca="false">-H90</f>
        <v>-253.04699240844</v>
      </c>
    </row>
    <row r="116" customFormat="false" ht="15" hidden="false" customHeight="false" outlineLevel="0" collapsed="false">
      <c r="A116" s="5" t="s">
        <v>352</v>
      </c>
      <c r="B116" s="14" t="s">
        <v>38</v>
      </c>
      <c r="D116" s="17" t="n">
        <f aca="false">SUM(D113:D115)</f>
        <v>388.0715125</v>
      </c>
      <c r="E116" s="17" t="n">
        <f aca="false">SUM(E113:E115)</f>
        <v>542.9793702125</v>
      </c>
      <c r="F116" s="17" t="n">
        <f aca="false">SUM(F113:F115)</f>
        <v>682.717001864969</v>
      </c>
      <c r="G116" s="17" t="n">
        <f aca="false">SUM(G113:G115)</f>
        <v>859.810013616477</v>
      </c>
      <c r="H116" s="17" t="n">
        <f aca="false">SUM(H113:H115)</f>
        <v>1031.77595986504</v>
      </c>
    </row>
    <row r="117" customFormat="false" ht="15" hidden="false" customHeight="false" outlineLevel="0" collapsed="false">
      <c r="A117" s="5" t="s">
        <v>364</v>
      </c>
      <c r="B117" s="14" t="s">
        <v>38</v>
      </c>
      <c r="D117" s="17" t="n">
        <f aca="false">-Inputs!$C$20*MAX(0,D116-$C$103)</f>
        <v>-5.98715125000001</v>
      </c>
      <c r="E117" s="17" t="n">
        <f aca="false">-Inputs!$C$20*MAX(0,E116-$C$103)</f>
        <v>-21.47793702125</v>
      </c>
      <c r="F117" s="17" t="n">
        <f aca="false">-Inputs!$C$20*MAX(0,F116-$C$103)</f>
        <v>-35.4517001864969</v>
      </c>
      <c r="G117" s="17" t="n">
        <f aca="false">-Inputs!$C$20*MAX(0,G116-$C$103)</f>
        <v>-53.1610013616477</v>
      </c>
      <c r="H117" s="17" t="n">
        <f aca="false">-Inputs!$C$20*MAX(0,H116-$C$103)</f>
        <v>-70.3575959865038</v>
      </c>
    </row>
    <row r="118" customFormat="false" ht="15" hidden="false" customHeight="false" outlineLevel="0" collapsed="false">
      <c r="A118" s="5" t="s">
        <v>365</v>
      </c>
      <c r="B118" s="14" t="s">
        <v>38</v>
      </c>
      <c r="D118" s="17" t="n">
        <f aca="false">D116+D117</f>
        <v>382.08436125</v>
      </c>
      <c r="E118" s="17" t="n">
        <f aca="false">E116+E117</f>
        <v>521.50143319125</v>
      </c>
      <c r="F118" s="17" t="n">
        <f aca="false">F116+F117</f>
        <v>647.265301678472</v>
      </c>
      <c r="G118" s="17" t="n">
        <f aca="false">G116+G117</f>
        <v>806.649012254829</v>
      </c>
      <c r="H118" s="17" t="n">
        <f aca="false">H116+H117</f>
        <v>961.418363878534</v>
      </c>
    </row>
    <row r="119" customFormat="false" ht="15" hidden="false" customHeight="false" outlineLevel="0" collapsed="false">
      <c r="A119" s="5" t="s">
        <v>32</v>
      </c>
      <c r="B119" s="14" t="s">
        <v>44</v>
      </c>
      <c r="D119" s="41" t="n">
        <f aca="false">D118/$C$103</f>
        <v>1.1641814785192</v>
      </c>
      <c r="E119" s="41" t="n">
        <f aca="false">E118/$C$103</f>
        <v>1.58897450698126</v>
      </c>
      <c r="F119" s="41" t="n">
        <f aca="false">F118/$C$103</f>
        <v>1.97216728116536</v>
      </c>
      <c r="G119" s="41" t="n">
        <f aca="false">G118/$C$103</f>
        <v>2.45779711229381</v>
      </c>
      <c r="H119" s="41" t="n">
        <f aca="false">H118/$C$103</f>
        <v>2.92936734880723</v>
      </c>
    </row>
    <row r="120" customFormat="false" ht="15" hidden="false" customHeight="false" outlineLevel="0" collapsed="false">
      <c r="A120" s="5" t="s">
        <v>31</v>
      </c>
      <c r="B120" s="14" t="s">
        <v>54</v>
      </c>
      <c r="D120" s="28" t="n">
        <f aca="false">IF(D119&gt;0,D119^(1/D$6)-1,-1)</f>
        <v>0.164181478519196</v>
      </c>
      <c r="E120" s="28" t="n">
        <f aca="false">IF(E119&gt;0,E119^(1/E$6)-1,-1)</f>
        <v>0.260545321272211</v>
      </c>
      <c r="F120" s="28" t="n">
        <f aca="false">IF(F119&gt;0,F119^(1/F$6)-1,-1)</f>
        <v>0.254049222191397</v>
      </c>
      <c r="G120" s="28" t="n">
        <f aca="false">IF(G119&gt;0,G119^(1/G$6)-1,-1)</f>
        <v>0.252092768887191</v>
      </c>
      <c r="H120" s="28" t="n">
        <f aca="false">IF(H119&gt;0,H119^(1/H$6)-1,-1)</f>
        <v>0.239808950490019</v>
      </c>
      <c r="I120" s="15" t="s">
        <v>366</v>
      </c>
    </row>
    <row r="122" customFormat="false" ht="15" hidden="false" customHeight="false" outlineLevel="0" collapsed="false">
      <c r="A122" s="3" t="s">
        <v>367</v>
      </c>
      <c r="B122" s="4"/>
      <c r="C122" s="4"/>
      <c r="D122" s="4"/>
      <c r="E122" s="4"/>
      <c r="F122" s="4"/>
      <c r="G122" s="4"/>
      <c r="H122" s="4"/>
      <c r="I122" s="4"/>
    </row>
    <row r="123" customFormat="false" ht="15" hidden="false" customHeight="false" outlineLevel="0" collapsed="false">
      <c r="A123" s="5" t="s">
        <v>353</v>
      </c>
      <c r="B123" s="14" t="s">
        <v>38</v>
      </c>
      <c r="C123" s="17" t="n">
        <f aca="false">C103</f>
        <v>328.2</v>
      </c>
    </row>
    <row r="124" customFormat="false" ht="15" hidden="false" customHeight="false" outlineLevel="0" collapsed="false">
      <c r="A124" s="5" t="s">
        <v>368</v>
      </c>
      <c r="B124" s="14" t="s">
        <v>38</v>
      </c>
      <c r="C124" s="17" t="n">
        <f aca="false">(H19-C19)*Inputs!$C$9</f>
        <v>567.773845384388</v>
      </c>
      <c r="I124" s="15" t="s">
        <v>369</v>
      </c>
    </row>
    <row r="125" customFormat="false" ht="15" hidden="false" customHeight="false" outlineLevel="0" collapsed="false">
      <c r="A125" s="5" t="s">
        <v>370</v>
      </c>
      <c r="B125" s="14" t="s">
        <v>38</v>
      </c>
      <c r="C125" s="17" t="n">
        <f aca="false">(H20+H21+H22+H23)*Inputs!$C$9</f>
        <v>196.6149386496</v>
      </c>
    </row>
    <row r="126" customFormat="false" ht="15" hidden="false" customHeight="false" outlineLevel="0" collapsed="false">
      <c r="A126" s="5" t="s">
        <v>371</v>
      </c>
      <c r="B126" s="14" t="s">
        <v>38</v>
      </c>
      <c r="C126" s="17" t="n">
        <f aca="false">(C98-Inputs!$C$9)*C97</f>
        <v>0</v>
      </c>
    </row>
    <row r="127" customFormat="false" ht="15" hidden="false" customHeight="false" outlineLevel="0" collapsed="false">
      <c r="A127" s="5" t="s">
        <v>372</v>
      </c>
      <c r="B127" s="14" t="s">
        <v>38</v>
      </c>
      <c r="C127" s="17" t="n">
        <f aca="false">SUM(D39:H39)</f>
        <v>-87.8384</v>
      </c>
    </row>
    <row r="128" customFormat="false" ht="15" hidden="false" customHeight="false" outlineLevel="0" collapsed="false">
      <c r="A128" s="5" t="s">
        <v>373</v>
      </c>
      <c r="B128" s="14" t="s">
        <v>38</v>
      </c>
      <c r="C128" s="17" t="n">
        <f aca="false">SUM(D38:H38)</f>
        <v>-40</v>
      </c>
    </row>
    <row r="129" customFormat="false" ht="15" hidden="false" customHeight="false" outlineLevel="0" collapsed="false">
      <c r="A129" s="5" t="s">
        <v>374</v>
      </c>
      <c r="B129" s="14" t="s">
        <v>38</v>
      </c>
      <c r="C129" s="17" t="n">
        <f aca="false">SUM(D37:H37)</f>
        <v>104.79140759156</v>
      </c>
    </row>
    <row r="130" customFormat="false" ht="15" hidden="false" customHeight="false" outlineLevel="0" collapsed="false">
      <c r="A130" s="5" t="s">
        <v>375</v>
      </c>
      <c r="B130" s="14" t="s">
        <v>38</v>
      </c>
      <c r="C130" s="17" t="n">
        <f aca="false">-(Transaction!$C$6+Transaction!$C$7)</f>
        <v>-18.2</v>
      </c>
    </row>
    <row r="131" customFormat="false" ht="15" hidden="false" customHeight="false" outlineLevel="0" collapsed="false">
      <c r="A131" s="5" t="s">
        <v>350</v>
      </c>
      <c r="B131" s="14" t="s">
        <v>38</v>
      </c>
      <c r="C131" s="17" t="n">
        <f aca="false">C100</f>
        <v>-19.5658317605098</v>
      </c>
    </row>
    <row r="132" customFormat="false" ht="15" hidden="false" customHeight="false" outlineLevel="0" collapsed="false">
      <c r="A132" s="5" t="s">
        <v>364</v>
      </c>
      <c r="B132" s="14" t="s">
        <v>38</v>
      </c>
      <c r="C132" s="17" t="n">
        <f aca="false">C105</f>
        <v>-70.3575959865038</v>
      </c>
    </row>
    <row r="133" customFormat="false" ht="15" hidden="false" customHeight="false" outlineLevel="0" collapsed="false">
      <c r="A133" s="1" t="s">
        <v>357</v>
      </c>
      <c r="B133" s="14" t="s">
        <v>38</v>
      </c>
      <c r="C133" s="33" t="n">
        <f aca="false">SUM(C123:C132)</f>
        <v>961.418363878534</v>
      </c>
    </row>
    <row r="134" customFormat="false" ht="15" hidden="false" customHeight="false" outlineLevel="0" collapsed="false">
      <c r="A134" s="34" t="s">
        <v>376</v>
      </c>
      <c r="B134" s="14" t="s">
        <v>38</v>
      </c>
      <c r="C134" s="39" t="n">
        <f aca="false">C133-C106</f>
        <v>0</v>
      </c>
    </row>
    <row r="136" customFormat="false" ht="15" hidden="false" customHeight="false" outlineLevel="0" collapsed="false">
      <c r="A136" s="3" t="s">
        <v>377</v>
      </c>
      <c r="B136" s="4"/>
      <c r="C136" s="4"/>
      <c r="D136" s="4"/>
      <c r="E136" s="4"/>
      <c r="F136" s="4"/>
      <c r="G136" s="4"/>
      <c r="H136" s="4"/>
      <c r="I136" s="4"/>
    </row>
    <row r="137" customFormat="false" ht="15" hidden="false" customHeight="false" outlineLevel="0" collapsed="false">
      <c r="A137" s="5" t="s">
        <v>378</v>
      </c>
      <c r="B137" s="14" t="s">
        <v>38</v>
      </c>
      <c r="C137" s="17" t="n">
        <f aca="false">Inputs!$C$21*MIN(1,MAX(0,(INDEX($D$19:$H$19,MATCH(Inputs!$C$22,$D$7:$H$7,0))-Inputs!$C$24)/(Inputs!$C$25-Inputs!$C$24)))</f>
        <v>40</v>
      </c>
      <c r="I137" s="15" t="s">
        <v>379</v>
      </c>
    </row>
    <row r="138" customFormat="false" ht="15" hidden="false" customHeight="false" outlineLevel="0" collapsed="false">
      <c r="A138" s="5" t="s">
        <v>380</v>
      </c>
      <c r="B138" s="14" t="s">
        <v>122</v>
      </c>
      <c r="C138" s="36" t="n">
        <f aca="false">IF(MIN(D78:H78)&gt;=Inputs!$C$17-0.001,1,0)</f>
        <v>1</v>
      </c>
    </row>
    <row r="139" customFormat="false" ht="15" hidden="false" customHeight="false" outlineLevel="0" collapsed="false">
      <c r="A139" s="5" t="s">
        <v>381</v>
      </c>
      <c r="B139" s="14" t="s">
        <v>122</v>
      </c>
      <c r="C139" s="36" t="n">
        <f aca="false">IF(SUM(D65:H65)&gt;=-SUM(D39:H39)-0.001,1,0)</f>
        <v>1</v>
      </c>
    </row>
    <row r="140" customFormat="false" ht="15" hidden="false" customHeight="false" outlineLevel="0" collapsed="false">
      <c r="A140" s="5" t="s">
        <v>382</v>
      </c>
      <c r="B140" s="14" t="s">
        <v>122</v>
      </c>
      <c r="C140" s="36" t="n">
        <f aca="false">IF(MAX(D70:H70)&lt;=Inputs!$C$32+0.001,1,0)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8" min="4" style="0" width="11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384</v>
      </c>
    </row>
    <row r="2" customFormat="false" ht="15" hidden="false" customHeight="false" outlineLevel="0" collapsed="false">
      <c r="A2" s="2" t="s">
        <v>265</v>
      </c>
    </row>
    <row r="3" customFormat="false" ht="15" hidden="false" customHeight="false" outlineLevel="0" collapsed="false">
      <c r="A3" s="5" t="s">
        <v>266</v>
      </c>
      <c r="C3" s="30" t="n">
        <v>3</v>
      </c>
    </row>
    <row r="5" customFormat="false" ht="15" hidden="false" customHeight="false" outlineLevel="0" collapsed="false">
      <c r="A5" s="6" t="s">
        <v>38</v>
      </c>
      <c r="B5" s="6" t="s">
        <v>95</v>
      </c>
      <c r="C5" s="8" t="s">
        <v>171</v>
      </c>
      <c r="D5" s="8" t="s">
        <v>96</v>
      </c>
      <c r="E5" s="8" t="s">
        <v>97</v>
      </c>
      <c r="F5" s="8" t="s">
        <v>98</v>
      </c>
      <c r="G5" s="8" t="s">
        <v>99</v>
      </c>
      <c r="H5" s="8" t="s">
        <v>100</v>
      </c>
    </row>
    <row r="6" customFormat="false" ht="15" hidden="false" customHeight="false" outlineLevel="0" collapsed="false">
      <c r="A6" s="34" t="s">
        <v>267</v>
      </c>
      <c r="C6" s="30" t="n">
        <v>0</v>
      </c>
      <c r="D6" s="42" t="n">
        <f aca="false">C6+1</f>
        <v>1</v>
      </c>
      <c r="E6" s="42" t="n">
        <f aca="false">D6+1</f>
        <v>2</v>
      </c>
      <c r="F6" s="42" t="n">
        <f aca="false">E6+1</f>
        <v>3</v>
      </c>
      <c r="G6" s="42" t="n">
        <f aca="false">F6+1</f>
        <v>4</v>
      </c>
      <c r="H6" s="42" t="n">
        <f aca="false">G6+1</f>
        <v>5</v>
      </c>
    </row>
    <row r="7" customFormat="false" ht="15" hidden="false" customHeight="false" outlineLevel="0" collapsed="false">
      <c r="A7" s="34" t="s">
        <v>268</v>
      </c>
      <c r="C7" s="22" t="n">
        <v>2026</v>
      </c>
      <c r="D7" s="43" t="n">
        <f aca="false">C7+1</f>
        <v>2027</v>
      </c>
      <c r="E7" s="43" t="n">
        <f aca="false">D7+1</f>
        <v>2028</v>
      </c>
      <c r="F7" s="43" t="n">
        <f aca="false">E7+1</f>
        <v>2029</v>
      </c>
      <c r="G7" s="43" t="n">
        <f aca="false">F7+1</f>
        <v>2030</v>
      </c>
      <c r="H7" s="43" t="n">
        <f aca="false">G7+1</f>
        <v>2031</v>
      </c>
    </row>
    <row r="9" customFormat="false" ht="15" hidden="false" customHeight="false" outlineLevel="0" collapsed="false">
      <c r="A9" s="3" t="s">
        <v>207</v>
      </c>
      <c r="B9" s="4"/>
      <c r="C9" s="4"/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34" t="s">
        <v>269</v>
      </c>
      <c r="B10" s="14" t="s">
        <v>54</v>
      </c>
      <c r="D10" s="35" t="n">
        <f aca="false">INDEX(Inputs!D$45:D$47,$C$3)+Inputs!$C$52</f>
        <v>0.04</v>
      </c>
      <c r="E10" s="35" t="n">
        <f aca="false">INDEX(Inputs!E$45:E$47,$C$3)+Inputs!$C$52</f>
        <v>0.04</v>
      </c>
      <c r="F10" s="35" t="n">
        <f aca="false">INDEX(Inputs!F$45:F$47,$C$3)+Inputs!$C$52</f>
        <v>0.045</v>
      </c>
      <c r="G10" s="35" t="n">
        <f aca="false">INDEX(Inputs!G$45:G$47,$C$3)+Inputs!$C$52</f>
        <v>0.045</v>
      </c>
      <c r="H10" s="35" t="n">
        <f aca="false">INDEX(Inputs!H$45:H$47,$C$3)+Inputs!$C$52</f>
        <v>0.045</v>
      </c>
      <c r="I10" s="15" t="s">
        <v>270</v>
      </c>
    </row>
    <row r="11" customFormat="false" ht="15" hidden="false" customHeight="false" outlineLevel="0" collapsed="false">
      <c r="A11" s="5" t="s">
        <v>271</v>
      </c>
      <c r="B11" s="14" t="s">
        <v>38</v>
      </c>
      <c r="C11" s="9" t="n">
        <f aca="false">Inputs!$C$5</f>
        <v>150</v>
      </c>
      <c r="D11" s="17" t="n">
        <f aca="false">C11*(1+D10)</f>
        <v>156</v>
      </c>
      <c r="E11" s="17" t="n">
        <f aca="false">D11*(1+E10)</f>
        <v>162.24</v>
      </c>
      <c r="F11" s="17" t="n">
        <f aca="false">E11*(1+F10)</f>
        <v>169.5408</v>
      </c>
      <c r="G11" s="17" t="n">
        <f aca="false">F11*(1+G10)</f>
        <v>177.170136</v>
      </c>
      <c r="H11" s="17" t="n">
        <f aca="false">G11*(1+H10)</f>
        <v>185.14279212</v>
      </c>
    </row>
    <row r="12" customFormat="false" ht="15" hidden="false" customHeight="false" outlineLevel="0" collapsed="false">
      <c r="A12" s="5" t="s">
        <v>272</v>
      </c>
      <c r="B12" s="14" t="s">
        <v>38</v>
      </c>
      <c r="C12" s="19" t="n">
        <v>0</v>
      </c>
      <c r="D12" s="17" t="n">
        <f aca="false">IF(AND(INDEX(Inputs!$D$57:$F$57,$C$3)=1,D$7&gt;=Inputs!$D$74),Inputs!$D$75*(1+Inputs!$D$76)^(D$7-Inputs!$D$74+1),0)</f>
        <v>0</v>
      </c>
      <c r="E12" s="17" t="n">
        <f aca="false">IF(AND(INDEX(Inputs!$D$57:$F$57,$C$3)=1,E$7&gt;=Inputs!$D$74),Inputs!$D$75*(1+Inputs!$D$76)^(E$7-Inputs!$D$74+1),0)</f>
        <v>0</v>
      </c>
      <c r="F12" s="17" t="n">
        <f aca="false">IF(AND(INDEX(Inputs!$D$57:$F$57,$C$3)=1,F$7&gt;=Inputs!$D$74),Inputs!$D$75*(1+Inputs!$D$76)^(F$7-Inputs!$D$74+1),0)</f>
        <v>0</v>
      </c>
      <c r="G12" s="17" t="n">
        <f aca="false">IF(AND(INDEX(Inputs!$D$57:$F$57,$C$3)=1,G$7&gt;=Inputs!$D$74),Inputs!$D$75*(1+Inputs!$D$76)^(G$7-Inputs!$D$74+1),0)</f>
        <v>0</v>
      </c>
      <c r="H12" s="17" t="n">
        <f aca="false">IF(AND(INDEX(Inputs!$D$57:$F$57,$C$3)=1,H$7&gt;=Inputs!$D$74),Inputs!$D$75*(1+Inputs!$D$76)^(H$7-Inputs!$D$74+1),0)</f>
        <v>0</v>
      </c>
      <c r="I12" s="15" t="s">
        <v>273</v>
      </c>
    </row>
    <row r="13" customFormat="false" ht="15" hidden="false" customHeight="false" outlineLevel="0" collapsed="false">
      <c r="A13" s="5" t="s">
        <v>274</v>
      </c>
      <c r="B13" s="14" t="s">
        <v>38</v>
      </c>
      <c r="C13" s="19" t="n">
        <v>0</v>
      </c>
      <c r="D13" s="17" t="n">
        <f aca="false">IF(AND(INDEX(Inputs!$D$58:$F$58,$C$3)=1,D$7&gt;=Inputs!$E$74),Inputs!$E$75*(1+Inputs!$E$76)^(D$7-Inputs!$E$74+1),0)</f>
        <v>0</v>
      </c>
      <c r="E13" s="17" t="n">
        <f aca="false">IF(AND(INDEX(Inputs!$D$58:$F$58,$C$3)=1,E$7&gt;=Inputs!$E$74),Inputs!$E$75*(1+Inputs!$E$76)^(E$7-Inputs!$E$74+1),0)</f>
        <v>0</v>
      </c>
      <c r="F13" s="17" t="n">
        <f aca="false">IF(AND(INDEX(Inputs!$D$58:$F$58,$C$3)=1,F$7&gt;=Inputs!$E$74),Inputs!$E$75*(1+Inputs!$E$76)^(F$7-Inputs!$E$74+1),0)</f>
        <v>0</v>
      </c>
      <c r="G13" s="17" t="n">
        <f aca="false">IF(AND(INDEX(Inputs!$D$58:$F$58,$C$3)=1,G$7&gt;=Inputs!$E$74),Inputs!$E$75*(1+Inputs!$E$76)^(G$7-Inputs!$E$74+1),0)</f>
        <v>0</v>
      </c>
      <c r="H13" s="17" t="n">
        <f aca="false">IF(AND(INDEX(Inputs!$D$58:$F$58,$C$3)=1,H$7&gt;=Inputs!$E$74),Inputs!$E$75*(1+Inputs!$E$76)^(H$7-Inputs!$E$74+1),0)</f>
        <v>0</v>
      </c>
    </row>
    <row r="14" customFormat="false" ht="15" hidden="false" customHeight="false" outlineLevel="0" collapsed="false">
      <c r="A14" s="1" t="s">
        <v>175</v>
      </c>
      <c r="B14" s="14" t="s">
        <v>38</v>
      </c>
      <c r="C14" s="33" t="n">
        <f aca="false">SUM(C11:C13)</f>
        <v>150</v>
      </c>
      <c r="D14" s="33" t="n">
        <f aca="false">SUM(D11:D13)</f>
        <v>156</v>
      </c>
      <c r="E14" s="33" t="n">
        <f aca="false">SUM(E11:E13)</f>
        <v>162.24</v>
      </c>
      <c r="F14" s="33" t="n">
        <f aca="false">SUM(F11:F13)</f>
        <v>169.5408</v>
      </c>
      <c r="G14" s="33" t="n">
        <f aca="false">SUM(G11:G13)</f>
        <v>177.170136</v>
      </c>
      <c r="H14" s="33" t="n">
        <f aca="false">SUM(H11:H13)</f>
        <v>185.14279212</v>
      </c>
    </row>
    <row r="15" customFormat="false" ht="15" hidden="false" customHeight="false" outlineLevel="0" collapsed="false">
      <c r="A15" s="34" t="s">
        <v>275</v>
      </c>
      <c r="B15" s="14" t="s">
        <v>54</v>
      </c>
      <c r="D15" s="35" t="n">
        <f aca="false">D14/C14-1</f>
        <v>0.04</v>
      </c>
      <c r="E15" s="35" t="n">
        <f aca="false">E14/D14-1</f>
        <v>0.04</v>
      </c>
      <c r="F15" s="35" t="n">
        <f aca="false">F14/E14-1</f>
        <v>0.0449999999999999</v>
      </c>
      <c r="G15" s="35" t="n">
        <f aca="false">G14/F14-1</f>
        <v>0.0449999999999999</v>
      </c>
      <c r="H15" s="35" t="n">
        <f aca="false">H14/G14-1</f>
        <v>0.0449999999999999</v>
      </c>
    </row>
    <row r="17" customFormat="false" ht="15" hidden="false" customHeight="false" outlineLevel="0" collapsed="false">
      <c r="A17" s="3" t="s">
        <v>276</v>
      </c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A18" s="34" t="s">
        <v>277</v>
      </c>
      <c r="B18" s="14" t="s">
        <v>54</v>
      </c>
      <c r="C18" s="35" t="n">
        <f aca="false">C19/C11</f>
        <v>0.266666666666667</v>
      </c>
      <c r="D18" s="35" t="n">
        <f aca="false">INDEX(Inputs!D$48:D$50,$C$3)+Inputs!$C$53</f>
        <v>0.265</v>
      </c>
      <c r="E18" s="35" t="n">
        <f aca="false">INDEX(Inputs!E$48:E$50,$C$3)+Inputs!$C$53</f>
        <v>0.265</v>
      </c>
      <c r="F18" s="35" t="n">
        <f aca="false">INDEX(Inputs!F$48:F$50,$C$3)+Inputs!$C$53</f>
        <v>0.265</v>
      </c>
      <c r="G18" s="35" t="n">
        <f aca="false">INDEX(Inputs!G$48:G$50,$C$3)+Inputs!$C$53</f>
        <v>0.265</v>
      </c>
      <c r="H18" s="35" t="n">
        <f aca="false">INDEX(Inputs!H$48:H$50,$C$3)+Inputs!$C$53</f>
        <v>0.265</v>
      </c>
    </row>
    <row r="19" customFormat="false" ht="15" hidden="false" customHeight="false" outlineLevel="0" collapsed="false">
      <c r="A19" s="5" t="s">
        <v>278</v>
      </c>
      <c r="B19" s="14" t="s">
        <v>38</v>
      </c>
      <c r="C19" s="9" t="n">
        <f aca="false">Inputs!$C$8</f>
        <v>40</v>
      </c>
      <c r="D19" s="17" t="n">
        <f aca="false">D11*D18</f>
        <v>41.34</v>
      </c>
      <c r="E19" s="17" t="n">
        <f aca="false">E11*E18</f>
        <v>42.9936</v>
      </c>
      <c r="F19" s="17" t="n">
        <f aca="false">F11*F18</f>
        <v>44.928312</v>
      </c>
      <c r="G19" s="17" t="n">
        <f aca="false">G11*G18</f>
        <v>46.95008604</v>
      </c>
      <c r="H19" s="17" t="n">
        <f aca="false">H11*H18</f>
        <v>49.0628399118</v>
      </c>
    </row>
    <row r="20" customFormat="false" ht="15" hidden="false" customHeight="false" outlineLevel="0" collapsed="false">
      <c r="A20" s="5" t="s">
        <v>279</v>
      </c>
      <c r="B20" s="14" t="s">
        <v>38</v>
      </c>
      <c r="C20" s="19" t="n">
        <v>0</v>
      </c>
      <c r="D20" s="17" t="n">
        <f aca="false">D12*Inputs!$D$77</f>
        <v>0</v>
      </c>
      <c r="E20" s="17" t="n">
        <f aca="false">E12*Inputs!$D$77</f>
        <v>0</v>
      </c>
      <c r="F20" s="17" t="n">
        <f aca="false">F12*Inputs!$D$77</f>
        <v>0</v>
      </c>
      <c r="G20" s="17" t="n">
        <f aca="false">G12*Inputs!$D$77</f>
        <v>0</v>
      </c>
      <c r="H20" s="17" t="n">
        <f aca="false">H12*Inputs!$D$77</f>
        <v>0</v>
      </c>
    </row>
    <row r="21" customFormat="false" ht="15" hidden="false" customHeight="false" outlineLevel="0" collapsed="false">
      <c r="A21" s="5" t="s">
        <v>280</v>
      </c>
      <c r="B21" s="14" t="s">
        <v>38</v>
      </c>
      <c r="C21" s="19" t="n">
        <v>0</v>
      </c>
      <c r="D21" s="17" t="n">
        <f aca="false">IF(D12&gt;0,Inputs!$D$81*IF(D$7-Inputs!$D$74=0,Inputs!$D$82,IF(D$7-Inputs!$D$74=1,Inputs!$D$83,Inputs!$D$84)),0)</f>
        <v>0</v>
      </c>
      <c r="E21" s="17" t="n">
        <f aca="false">IF(E12&gt;0,Inputs!$D$81*IF(E$7-Inputs!$D$74=0,Inputs!$D$82,IF(E$7-Inputs!$D$74=1,Inputs!$D$83,Inputs!$D$84)),0)</f>
        <v>0</v>
      </c>
      <c r="F21" s="17" t="n">
        <f aca="false">IF(F12&gt;0,Inputs!$D$81*IF(F$7-Inputs!$D$74=0,Inputs!$D$82,IF(F$7-Inputs!$D$74=1,Inputs!$D$83,Inputs!$D$84)),0)</f>
        <v>0</v>
      </c>
      <c r="G21" s="17" t="n">
        <f aca="false">IF(G12&gt;0,Inputs!$D$81*IF(G$7-Inputs!$D$74=0,Inputs!$D$82,IF(G$7-Inputs!$D$74=1,Inputs!$D$83,Inputs!$D$84)),0)</f>
        <v>0</v>
      </c>
      <c r="H21" s="17" t="n">
        <f aca="false">IF(H12&gt;0,Inputs!$D$81*IF(H$7-Inputs!$D$74=0,Inputs!$D$82,IF(H$7-Inputs!$D$74=1,Inputs!$D$83,Inputs!$D$84)),0)</f>
        <v>0</v>
      </c>
    </row>
    <row r="22" customFormat="false" ht="15" hidden="false" customHeight="false" outlineLevel="0" collapsed="false">
      <c r="A22" s="5" t="s">
        <v>281</v>
      </c>
      <c r="B22" s="14" t="s">
        <v>38</v>
      </c>
      <c r="C22" s="19" t="n">
        <v>0</v>
      </c>
      <c r="D22" s="17" t="n">
        <f aca="false">D13*Inputs!$E$77</f>
        <v>0</v>
      </c>
      <c r="E22" s="17" t="n">
        <f aca="false">E13*Inputs!$E$77</f>
        <v>0</v>
      </c>
      <c r="F22" s="17" t="n">
        <f aca="false">F13*Inputs!$E$77</f>
        <v>0</v>
      </c>
      <c r="G22" s="17" t="n">
        <f aca="false">G13*Inputs!$E$77</f>
        <v>0</v>
      </c>
      <c r="H22" s="17" t="n">
        <f aca="false">H13*Inputs!$E$77</f>
        <v>0</v>
      </c>
    </row>
    <row r="23" customFormat="false" ht="15" hidden="false" customHeight="false" outlineLevel="0" collapsed="false">
      <c r="A23" s="5" t="s">
        <v>282</v>
      </c>
      <c r="B23" s="14" t="s">
        <v>38</v>
      </c>
      <c r="C23" s="19" t="n">
        <v>0</v>
      </c>
      <c r="D23" s="17" t="n">
        <f aca="false">IF(D13&gt;0,Inputs!$E$81*IF(D$7-Inputs!$E$74=0,Inputs!$E$82,IF(D$7-Inputs!$E$74=1,Inputs!$E$83,Inputs!$E$84)),0)</f>
        <v>0</v>
      </c>
      <c r="E23" s="17" t="n">
        <f aca="false">IF(E13&gt;0,Inputs!$E$81*IF(E$7-Inputs!$E$74=0,Inputs!$E$82,IF(E$7-Inputs!$E$74=1,Inputs!$E$83,Inputs!$E$84)),0)</f>
        <v>0</v>
      </c>
      <c r="F23" s="17" t="n">
        <f aca="false">IF(F13&gt;0,Inputs!$E$81*IF(F$7-Inputs!$E$74=0,Inputs!$E$82,IF(F$7-Inputs!$E$74=1,Inputs!$E$83,Inputs!$E$84)),0)</f>
        <v>0</v>
      </c>
      <c r="G23" s="17" t="n">
        <f aca="false">IF(G13&gt;0,Inputs!$E$81*IF(G$7-Inputs!$E$74=0,Inputs!$E$82,IF(G$7-Inputs!$E$74=1,Inputs!$E$83,Inputs!$E$84)),0)</f>
        <v>0</v>
      </c>
      <c r="H23" s="17" t="n">
        <f aca="false">IF(H13&gt;0,Inputs!$E$81*IF(H$7-Inputs!$E$74=0,Inputs!$E$82,IF(H$7-Inputs!$E$74=1,Inputs!$E$83,Inputs!$E$84)),0)</f>
        <v>0</v>
      </c>
    </row>
    <row r="24" customFormat="false" ht="15" hidden="false" customHeight="false" outlineLevel="0" collapsed="false">
      <c r="A24" s="1" t="s">
        <v>283</v>
      </c>
      <c r="B24" s="14" t="s">
        <v>38</v>
      </c>
      <c r="C24" s="33" t="n">
        <f aca="false">SUM(C19:C23)</f>
        <v>40</v>
      </c>
      <c r="D24" s="33" t="n">
        <f aca="false">SUM(D19:D23)</f>
        <v>41.34</v>
      </c>
      <c r="E24" s="33" t="n">
        <f aca="false">SUM(E19:E23)</f>
        <v>42.9936</v>
      </c>
      <c r="F24" s="33" t="n">
        <f aca="false">SUM(F19:F23)</f>
        <v>44.928312</v>
      </c>
      <c r="G24" s="33" t="n">
        <f aca="false">SUM(G19:G23)</f>
        <v>46.95008604</v>
      </c>
      <c r="H24" s="33" t="n">
        <f aca="false">SUM(H19:H23)</f>
        <v>49.0628399118</v>
      </c>
    </row>
    <row r="25" customFormat="false" ht="15" hidden="false" customHeight="false" outlineLevel="0" collapsed="false">
      <c r="A25" s="34" t="s">
        <v>284</v>
      </c>
      <c r="B25" s="14" t="s">
        <v>54</v>
      </c>
      <c r="C25" s="35" t="n">
        <f aca="false">C24/C14</f>
        <v>0.266666666666667</v>
      </c>
      <c r="D25" s="35" t="n">
        <f aca="false">D24/D14</f>
        <v>0.265</v>
      </c>
      <c r="E25" s="35" t="n">
        <f aca="false">E24/E14</f>
        <v>0.265</v>
      </c>
      <c r="F25" s="35" t="n">
        <f aca="false">F24/F14</f>
        <v>0.265</v>
      </c>
      <c r="G25" s="35" t="n">
        <f aca="false">G24/G14</f>
        <v>0.265</v>
      </c>
      <c r="H25" s="35" t="n">
        <f aca="false">H24/H14</f>
        <v>0.265</v>
      </c>
    </row>
    <row r="26" customFormat="false" ht="15" hidden="false" customHeight="false" outlineLevel="0" collapsed="false">
      <c r="A26" s="34" t="s">
        <v>285</v>
      </c>
      <c r="B26" s="14" t="s">
        <v>54</v>
      </c>
      <c r="D26" s="35" t="n">
        <f aca="false">D24/C24-1</f>
        <v>0.0335000000000001</v>
      </c>
      <c r="E26" s="35" t="n">
        <f aca="false">E24/D24-1</f>
        <v>0.04</v>
      </c>
      <c r="F26" s="35" t="n">
        <f aca="false">F24/E24-1</f>
        <v>0.0449999999999997</v>
      </c>
      <c r="G26" s="35" t="n">
        <f aca="false">G24/F24-1</f>
        <v>0.0449999999999999</v>
      </c>
      <c r="H26" s="35" t="n">
        <f aca="false">H24/G24-1</f>
        <v>0.0449999999999999</v>
      </c>
    </row>
    <row r="28" customFormat="false" ht="15" hidden="false" customHeight="false" outlineLevel="0" collapsed="false">
      <c r="A28" s="3" t="s">
        <v>286</v>
      </c>
      <c r="B28" s="4"/>
      <c r="C28" s="4"/>
      <c r="D28" s="4"/>
      <c r="E28" s="4"/>
      <c r="F28" s="4"/>
      <c r="G28" s="4"/>
      <c r="H28" s="4"/>
      <c r="I28" s="4"/>
    </row>
    <row r="29" customFormat="false" ht="15" hidden="false" customHeight="false" outlineLevel="0" collapsed="false">
      <c r="A29" s="5" t="s">
        <v>287</v>
      </c>
      <c r="B29" s="14" t="s">
        <v>38</v>
      </c>
      <c r="D29" s="17" t="n">
        <f aca="false">D24</f>
        <v>41.34</v>
      </c>
      <c r="E29" s="17" t="n">
        <f aca="false">E24</f>
        <v>42.9936</v>
      </c>
      <c r="F29" s="17" t="n">
        <f aca="false">F24</f>
        <v>44.928312</v>
      </c>
      <c r="G29" s="17" t="n">
        <f aca="false">G24</f>
        <v>46.95008604</v>
      </c>
      <c r="H29" s="17" t="n">
        <f aca="false">H24</f>
        <v>49.0628399118</v>
      </c>
    </row>
    <row r="30" customFormat="false" ht="15" hidden="false" customHeight="false" outlineLevel="0" collapsed="false">
      <c r="A30" s="5" t="s">
        <v>288</v>
      </c>
      <c r="B30" s="14" t="s">
        <v>38</v>
      </c>
      <c r="D30" s="17" t="n">
        <f aca="false">-(IF(AND(INDEX(Inputs!$D$57:$F$57,$C$3)=1,D$7=Inputs!$D$74),Inputs!$D$80,0)+IF(AND(INDEX(Inputs!$D$58:$F$58,$C$3)=1,D$7=Inputs!$E$74),Inputs!$E$80,0))</f>
        <v>-0</v>
      </c>
      <c r="E30" s="17" t="n">
        <f aca="false">-(IF(AND(INDEX(Inputs!$D$57:$F$57,$C$3)=1,E$7=Inputs!$D$74),Inputs!$D$80,0)+IF(AND(INDEX(Inputs!$D$58:$F$58,$C$3)=1,E$7=Inputs!$E$74),Inputs!$E$80,0))</f>
        <v>-0</v>
      </c>
      <c r="F30" s="17" t="n">
        <f aca="false">-(IF(AND(INDEX(Inputs!$D$57:$F$57,$C$3)=1,F$7=Inputs!$D$74),Inputs!$D$80,0)+IF(AND(INDEX(Inputs!$D$58:$F$58,$C$3)=1,F$7=Inputs!$E$74),Inputs!$E$80,0))</f>
        <v>-0</v>
      </c>
      <c r="G30" s="17" t="n">
        <f aca="false">-(IF(AND(INDEX(Inputs!$D$57:$F$57,$C$3)=1,G$7=Inputs!$D$74),Inputs!$D$80,0)+IF(AND(INDEX(Inputs!$D$58:$F$58,$C$3)=1,G$7=Inputs!$E$74),Inputs!$E$80,0))</f>
        <v>-0</v>
      </c>
      <c r="H30" s="17" t="n">
        <f aca="false">-(IF(AND(INDEX(Inputs!$D$57:$F$57,$C$3)=1,H$7=Inputs!$D$74),Inputs!$D$80,0)+IF(AND(INDEX(Inputs!$D$58:$F$58,$C$3)=1,H$7=Inputs!$E$74),Inputs!$E$80,0))</f>
        <v>-0</v>
      </c>
    </row>
    <row r="31" customFormat="false" ht="15" hidden="false" customHeight="false" outlineLevel="0" collapsed="false">
      <c r="A31" s="5" t="s">
        <v>289</v>
      </c>
      <c r="B31" s="14" t="s">
        <v>38</v>
      </c>
      <c r="D31" s="17" t="n">
        <f aca="false">-D14*Inputs!$C$63</f>
        <v>-6.24</v>
      </c>
      <c r="E31" s="17" t="n">
        <f aca="false">-E14*Inputs!$C$63</f>
        <v>-6.4896</v>
      </c>
      <c r="F31" s="17" t="n">
        <f aca="false">-F14*Inputs!$C$63</f>
        <v>-6.781632</v>
      </c>
      <c r="G31" s="17" t="n">
        <f aca="false">-G14*Inputs!$C$63</f>
        <v>-7.08680544</v>
      </c>
      <c r="H31" s="17" t="n">
        <f aca="false">-H14*Inputs!$C$63</f>
        <v>-7.4057116848</v>
      </c>
    </row>
    <row r="32" customFormat="false" ht="15" hidden="false" customHeight="false" outlineLevel="0" collapsed="false">
      <c r="A32" s="5" t="s">
        <v>290</v>
      </c>
      <c r="B32" s="14" t="s">
        <v>38</v>
      </c>
      <c r="D32" s="17" t="n">
        <f aca="false">-D14*Inputs!$C$64</f>
        <v>-2.34</v>
      </c>
      <c r="E32" s="17" t="n">
        <f aca="false">-E14*Inputs!$C$64</f>
        <v>-2.4336</v>
      </c>
      <c r="F32" s="17" t="n">
        <f aca="false">-F14*Inputs!$C$64</f>
        <v>-2.543112</v>
      </c>
      <c r="G32" s="17" t="n">
        <f aca="false">-G14*Inputs!$C$64</f>
        <v>-2.65755204</v>
      </c>
      <c r="H32" s="17" t="n">
        <f aca="false">-H14*Inputs!$C$64</f>
        <v>-2.7771418818</v>
      </c>
    </row>
    <row r="33" customFormat="false" ht="15" hidden="false" customHeight="false" outlineLevel="0" collapsed="false">
      <c r="A33" s="5" t="s">
        <v>291</v>
      </c>
      <c r="B33" s="14" t="s">
        <v>38</v>
      </c>
      <c r="D33" s="17" t="n">
        <f aca="false">-Inputs!D$65</f>
        <v>-5</v>
      </c>
      <c r="E33" s="17" t="n">
        <f aca="false">-Inputs!E$65</f>
        <v>-4</v>
      </c>
      <c r="F33" s="17" t="n">
        <f aca="false">-Inputs!F$65</f>
        <v>-2</v>
      </c>
      <c r="G33" s="17" t="n">
        <f aca="false">-Inputs!G$65</f>
        <v>-0</v>
      </c>
      <c r="H33" s="17" t="n">
        <f aca="false">-Inputs!H$65</f>
        <v>-0</v>
      </c>
    </row>
    <row r="34" customFormat="false" ht="15" hidden="false" customHeight="false" outlineLevel="0" collapsed="false">
      <c r="A34" s="5" t="s">
        <v>292</v>
      </c>
      <c r="B34" s="14" t="s">
        <v>38</v>
      </c>
      <c r="D34" s="17" t="n">
        <f aca="false">-(D57-C57-D58)</f>
        <v>-1.32</v>
      </c>
      <c r="E34" s="17" t="n">
        <f aca="false">-(E57-D57-E58)</f>
        <v>-1.37280000000001</v>
      </c>
      <c r="F34" s="17" t="n">
        <f aca="false">-(F57-E57-F58)</f>
        <v>-1.60617599999999</v>
      </c>
      <c r="G34" s="17" t="n">
        <f aca="false">-(G57-F57-G58)</f>
        <v>-1.67845392</v>
      </c>
      <c r="H34" s="17" t="n">
        <f aca="false">-(H57-G57-H58)</f>
        <v>-1.7539843464</v>
      </c>
      <c r="I34" s="15" t="s">
        <v>293</v>
      </c>
    </row>
    <row r="35" customFormat="false" ht="15" hidden="false" customHeight="false" outlineLevel="0" collapsed="false">
      <c r="A35" s="5" t="s">
        <v>294</v>
      </c>
      <c r="B35" s="14" t="s">
        <v>38</v>
      </c>
      <c r="D35" s="17" t="n">
        <f aca="false">-D54</f>
        <v>-5.2845</v>
      </c>
      <c r="E35" s="17" t="n">
        <f aca="false">-E54</f>
        <v>-5.49588</v>
      </c>
      <c r="F35" s="17" t="n">
        <f aca="false">-F54</f>
        <v>-5.7431946</v>
      </c>
      <c r="G35" s="17" t="n">
        <f aca="false">-G54</f>
        <v>-6.001638357</v>
      </c>
      <c r="H35" s="17" t="n">
        <f aca="false">-H54</f>
        <v>-6.271712083065</v>
      </c>
    </row>
    <row r="36" customFormat="false" ht="15" hidden="false" customHeight="false" outlineLevel="0" collapsed="false">
      <c r="A36" s="5" t="s">
        <v>295</v>
      </c>
      <c r="B36" s="14" t="s">
        <v>38</v>
      </c>
      <c r="D36" s="17" t="n">
        <f aca="false">-D86</f>
        <v>-18.29875</v>
      </c>
      <c r="E36" s="17" t="n">
        <f aca="false">-E86</f>
        <v>-18.105919375</v>
      </c>
      <c r="F36" s="17" t="n">
        <f aca="false">-F86</f>
        <v>-17.7619528328125</v>
      </c>
      <c r="G36" s="17" t="n">
        <f aca="false">-G86</f>
        <v>-17.1887263245273</v>
      </c>
      <c r="H36" s="17" t="n">
        <f aca="false">-H86</f>
        <v>-16.3559849023304</v>
      </c>
    </row>
    <row r="37" customFormat="false" ht="15" hidden="false" customHeight="false" outlineLevel="0" collapsed="false">
      <c r="A37" s="1" t="s">
        <v>286</v>
      </c>
      <c r="B37" s="14" t="s">
        <v>38</v>
      </c>
      <c r="D37" s="33" t="n">
        <f aca="false">SUM(D29:D36)</f>
        <v>2.85675</v>
      </c>
      <c r="E37" s="33" t="n">
        <f aca="false">SUM(E29:E36)</f>
        <v>5.095800625</v>
      </c>
      <c r="F37" s="33" t="n">
        <f aca="false">SUM(F29:F36)</f>
        <v>8.49224456718751</v>
      </c>
      <c r="G37" s="33" t="n">
        <f aca="false">SUM(G29:G36)</f>
        <v>12.3369099584727</v>
      </c>
      <c r="H37" s="33" t="n">
        <f aca="false">SUM(H29:H36)</f>
        <v>14.4983050134046</v>
      </c>
    </row>
    <row r="38" customFormat="false" ht="15" hidden="false" customHeight="false" outlineLevel="0" collapsed="false">
      <c r="A38" s="5" t="s">
        <v>296</v>
      </c>
      <c r="B38" s="14" t="s">
        <v>38</v>
      </c>
      <c r="D38" s="17" t="n">
        <f aca="false">-IF(D$7=Inputs!$C$23,$C$137,0)</f>
        <v>-0</v>
      </c>
      <c r="E38" s="17" t="n">
        <f aca="false">-IF(E$7=Inputs!$C$23,$C$137,0)</f>
        <v>-0</v>
      </c>
      <c r="F38" s="17" t="n">
        <f aca="false">-IF(F$7=Inputs!$C$23,$C$137,0)</f>
        <v>-0</v>
      </c>
      <c r="G38" s="17" t="n">
        <f aca="false">-IF(G$7=Inputs!$C$23,$C$137,0)</f>
        <v>-0</v>
      </c>
      <c r="H38" s="17" t="n">
        <f aca="false">-IF(H$7=Inputs!$C$23,$C$137,0)</f>
        <v>-0</v>
      </c>
      <c r="I38" s="15" t="s">
        <v>297</v>
      </c>
    </row>
    <row r="39" customFormat="false" ht="15" hidden="false" customHeight="false" outlineLevel="0" collapsed="false">
      <c r="A39" s="5" t="s">
        <v>298</v>
      </c>
      <c r="B39" s="14" t="s">
        <v>38</v>
      </c>
      <c r="D39" s="17" t="n">
        <f aca="false">-(IF(AND(INDEX(Inputs!$D$57:$F$57,$C$3)=1,D$7=Inputs!$D$74),Inputs!$D$86,0)+IF(AND(INDEX(Inputs!$D$58:$F$58,$C$3)=1,D$7=Inputs!$E$74),Inputs!$E$86,0))</f>
        <v>-0</v>
      </c>
      <c r="E39" s="17" t="n">
        <f aca="false">-(IF(AND(INDEX(Inputs!$D$57:$F$57,$C$3)=1,E$7=Inputs!$D$74),Inputs!$D$86,0)+IF(AND(INDEX(Inputs!$D$58:$F$58,$C$3)=1,E$7=Inputs!$E$74),Inputs!$E$86,0))</f>
        <v>-0</v>
      </c>
      <c r="F39" s="17" t="n">
        <f aca="false">-(IF(AND(INDEX(Inputs!$D$57:$F$57,$C$3)=1,F$7=Inputs!$D$74),Inputs!$D$86,0)+IF(AND(INDEX(Inputs!$D$58:$F$58,$C$3)=1,F$7=Inputs!$E$74),Inputs!$E$86,0))</f>
        <v>-0</v>
      </c>
      <c r="G39" s="17" t="n">
        <f aca="false">-(IF(AND(INDEX(Inputs!$D$57:$F$57,$C$3)=1,G$7=Inputs!$D$74),Inputs!$D$86,0)+IF(AND(INDEX(Inputs!$D$58:$F$58,$C$3)=1,G$7=Inputs!$E$74),Inputs!$E$86,0))</f>
        <v>-0</v>
      </c>
      <c r="H39" s="17" t="n">
        <f aca="false">-(IF(AND(INDEX(Inputs!$D$57:$F$57,$C$3)=1,H$7=Inputs!$D$74),Inputs!$D$86,0)+IF(AND(INDEX(Inputs!$D$58:$F$58,$C$3)=1,H$7=Inputs!$E$74),Inputs!$E$86,0))</f>
        <v>-0</v>
      </c>
    </row>
    <row r="40" customFormat="false" ht="15" hidden="false" customHeight="false" outlineLevel="0" collapsed="false">
      <c r="A40" s="1" t="s">
        <v>299</v>
      </c>
      <c r="B40" s="14" t="s">
        <v>38</v>
      </c>
      <c r="D40" s="33" t="n">
        <f aca="false">D37+D38+D39</f>
        <v>2.85675</v>
      </c>
      <c r="E40" s="33" t="n">
        <f aca="false">E37+E38+E39</f>
        <v>5.095800625</v>
      </c>
      <c r="F40" s="33" t="n">
        <f aca="false">F37+F38+F39</f>
        <v>8.49224456718751</v>
      </c>
      <c r="G40" s="33" t="n">
        <f aca="false">G37+G38+G39</f>
        <v>12.3369099584727</v>
      </c>
      <c r="H40" s="33" t="n">
        <f aca="false">H37+H38+H39</f>
        <v>14.4983050134046</v>
      </c>
    </row>
    <row r="41" customFormat="false" ht="15" hidden="false" customHeight="false" outlineLevel="0" collapsed="false">
      <c r="A41" s="34" t="s">
        <v>300</v>
      </c>
      <c r="B41" s="14" t="s">
        <v>54</v>
      </c>
      <c r="D41" s="35" t="n">
        <f aca="false">(D29+D31+D32+D33+D34)/D29</f>
        <v>0.639574262215772</v>
      </c>
      <c r="E41" s="35" t="n">
        <f aca="false">(E29+E31+E32+E33+E34)/E29</f>
        <v>0.667485393174798</v>
      </c>
      <c r="F41" s="35" t="n">
        <f aca="false">(F29+F31+F32+F33+F34)/F29</f>
        <v>0.712187718069622</v>
      </c>
      <c r="G41" s="35" t="n">
        <f aca="false">(G29+G31+G32+G33+G34)/G29</f>
        <v>0.756703078450844</v>
      </c>
      <c r="H41" s="35" t="n">
        <f aca="false">(H29+H31+H32+H33+H34)/H29</f>
        <v>0.756703078450844</v>
      </c>
    </row>
    <row r="43" customFormat="false" ht="15" hidden="false" customHeight="false" outlineLevel="0" collapsed="false">
      <c r="A43" s="3" t="s">
        <v>301</v>
      </c>
      <c r="B43" s="4"/>
      <c r="C43" s="4"/>
      <c r="D43" s="4"/>
      <c r="E43" s="4"/>
      <c r="F43" s="4"/>
      <c r="G43" s="4"/>
      <c r="H43" s="4"/>
      <c r="I43" s="4"/>
    </row>
    <row r="44" customFormat="false" ht="15" hidden="false" customHeight="false" outlineLevel="0" collapsed="false">
      <c r="A44" s="5" t="s">
        <v>287</v>
      </c>
      <c r="B44" s="14" t="s">
        <v>38</v>
      </c>
      <c r="D44" s="17" t="n">
        <f aca="false">D24</f>
        <v>41.34</v>
      </c>
      <c r="E44" s="17" t="n">
        <f aca="false">E24</f>
        <v>42.9936</v>
      </c>
      <c r="F44" s="17" t="n">
        <f aca="false">F24</f>
        <v>44.928312</v>
      </c>
      <c r="G44" s="17" t="n">
        <f aca="false">G24</f>
        <v>46.95008604</v>
      </c>
      <c r="H44" s="17" t="n">
        <f aca="false">H24</f>
        <v>49.0628399118</v>
      </c>
    </row>
    <row r="45" customFormat="false" ht="15" hidden="false" customHeight="false" outlineLevel="0" collapsed="false">
      <c r="A45" s="5" t="s">
        <v>288</v>
      </c>
      <c r="B45" s="14" t="s">
        <v>38</v>
      </c>
      <c r="D45" s="17" t="n">
        <f aca="false">D30</f>
        <v>-0</v>
      </c>
      <c r="E45" s="17" t="n">
        <f aca="false">E30</f>
        <v>-0</v>
      </c>
      <c r="F45" s="17" t="n">
        <f aca="false">F30</f>
        <v>-0</v>
      </c>
      <c r="G45" s="17" t="n">
        <f aca="false">G30</f>
        <v>-0</v>
      </c>
      <c r="H45" s="17" t="n">
        <f aca="false">H30</f>
        <v>-0</v>
      </c>
    </row>
    <row r="46" customFormat="false" ht="15" hidden="false" customHeight="false" outlineLevel="0" collapsed="false">
      <c r="A46" s="5" t="s">
        <v>302</v>
      </c>
      <c r="B46" s="14" t="s">
        <v>38</v>
      </c>
      <c r="D46" s="17" t="n">
        <f aca="false">-D14*Inputs!$C$62</f>
        <v>-7.8</v>
      </c>
      <c r="E46" s="17" t="n">
        <f aca="false">-E14*Inputs!$C$62</f>
        <v>-8.112</v>
      </c>
      <c r="F46" s="17" t="n">
        <f aca="false">-F14*Inputs!$C$62</f>
        <v>-8.47704</v>
      </c>
      <c r="G46" s="17" t="n">
        <f aca="false">-G14*Inputs!$C$62</f>
        <v>-8.8585068</v>
      </c>
      <c r="H46" s="17" t="n">
        <f aca="false">-H14*Inputs!$C$62</f>
        <v>-9.257139606</v>
      </c>
    </row>
    <row r="47" customFormat="false" ht="15" hidden="false" customHeight="false" outlineLevel="0" collapsed="false">
      <c r="A47" s="1" t="s">
        <v>303</v>
      </c>
      <c r="B47" s="14" t="s">
        <v>38</v>
      </c>
      <c r="D47" s="33" t="n">
        <f aca="false">SUM(D44:D46)</f>
        <v>33.54</v>
      </c>
      <c r="E47" s="33" t="n">
        <f aca="false">SUM(E44:E46)</f>
        <v>34.8816</v>
      </c>
      <c r="F47" s="33" t="n">
        <f aca="false">SUM(F44:F46)</f>
        <v>36.451272</v>
      </c>
      <c r="G47" s="33" t="n">
        <f aca="false">SUM(G44:G46)</f>
        <v>38.09157924</v>
      </c>
      <c r="H47" s="33" t="n">
        <f aca="false">SUM(H44:H46)</f>
        <v>39.8057003058</v>
      </c>
    </row>
    <row r="48" customFormat="false" ht="15" hidden="false" customHeight="false" outlineLevel="0" collapsed="false">
      <c r="A48" s="5" t="s">
        <v>295</v>
      </c>
      <c r="B48" s="14" t="s">
        <v>38</v>
      </c>
      <c r="D48" s="17" t="n">
        <f aca="false">D86</f>
        <v>18.29875</v>
      </c>
      <c r="E48" s="17" t="n">
        <f aca="false">E86</f>
        <v>18.105919375</v>
      </c>
      <c r="F48" s="17" t="n">
        <f aca="false">F86</f>
        <v>17.7619528328125</v>
      </c>
      <c r="G48" s="17" t="n">
        <f aca="false">G86</f>
        <v>17.1887263245273</v>
      </c>
      <c r="H48" s="17" t="n">
        <f aca="false">H86</f>
        <v>16.3559849023304</v>
      </c>
    </row>
    <row r="49" customFormat="false" ht="15" hidden="false" customHeight="false" outlineLevel="0" collapsed="false">
      <c r="A49" s="5" t="s">
        <v>304</v>
      </c>
      <c r="B49" s="14" t="s">
        <v>38</v>
      </c>
      <c r="D49" s="17" t="n">
        <f aca="false">MAX(Inputs!$C$69,Inputs!$C$68*D44)</f>
        <v>12.402</v>
      </c>
      <c r="E49" s="17" t="n">
        <f aca="false">MAX(Inputs!$C$69,Inputs!$C$68*E44)</f>
        <v>12.89808</v>
      </c>
      <c r="F49" s="17" t="n">
        <f aca="false">MAX(Inputs!$C$69,Inputs!$C$68*F44)</f>
        <v>13.4784936</v>
      </c>
      <c r="G49" s="17" t="n">
        <f aca="false">MAX(Inputs!$C$69,Inputs!$C$68*G44)</f>
        <v>14.085025812</v>
      </c>
      <c r="H49" s="17" t="n">
        <f aca="false">MAX(Inputs!$C$69,Inputs!$C$68*H44)</f>
        <v>14.71885197354</v>
      </c>
      <c r="I49" s="15" t="s">
        <v>305</v>
      </c>
    </row>
    <row r="50" customFormat="false" ht="15" hidden="false" customHeight="false" outlineLevel="0" collapsed="false">
      <c r="A50" s="5" t="s">
        <v>306</v>
      </c>
      <c r="B50" s="14" t="s">
        <v>38</v>
      </c>
      <c r="D50" s="17" t="n">
        <f aca="false">C52</f>
        <v>0</v>
      </c>
      <c r="E50" s="17" t="n">
        <f aca="false">D52</f>
        <v>5.89675</v>
      </c>
      <c r="F50" s="17" t="n">
        <f aca="false">E52</f>
        <v>11.104589375</v>
      </c>
      <c r="G50" s="17" t="n">
        <f aca="false">F52</f>
        <v>15.3880486078125</v>
      </c>
      <c r="H50" s="17" t="n">
        <f aca="false">G52</f>
        <v>18.4917491203399</v>
      </c>
    </row>
    <row r="51" customFormat="false" ht="15" hidden="false" customHeight="false" outlineLevel="0" collapsed="false">
      <c r="A51" s="5" t="s">
        <v>307</v>
      </c>
      <c r="B51" s="14" t="s">
        <v>38</v>
      </c>
      <c r="D51" s="17" t="n">
        <f aca="false">MAX(0,MIN(D48+D50,D49))</f>
        <v>12.402</v>
      </c>
      <c r="E51" s="17" t="n">
        <f aca="false">MAX(0,MIN(E48+E50,E49))</f>
        <v>12.89808</v>
      </c>
      <c r="F51" s="17" t="n">
        <f aca="false">MAX(0,MIN(F48+F50,F49))</f>
        <v>13.4784936</v>
      </c>
      <c r="G51" s="17" t="n">
        <f aca="false">MAX(0,MIN(G48+G50,G49))</f>
        <v>14.085025812</v>
      </c>
      <c r="H51" s="17" t="n">
        <f aca="false">MAX(0,MIN(H48+H50,H49))</f>
        <v>14.71885197354</v>
      </c>
    </row>
    <row r="52" customFormat="false" ht="15" hidden="false" customHeight="false" outlineLevel="0" collapsed="false">
      <c r="A52" s="5" t="s">
        <v>308</v>
      </c>
      <c r="B52" s="14" t="s">
        <v>38</v>
      </c>
      <c r="C52" s="19" t="n">
        <v>0</v>
      </c>
      <c r="D52" s="17" t="n">
        <f aca="false">MAX(0,D48+D50-D51)</f>
        <v>5.89675</v>
      </c>
      <c r="E52" s="17" t="n">
        <f aca="false">MAX(0,E48+E50-E51)</f>
        <v>11.104589375</v>
      </c>
      <c r="F52" s="17" t="n">
        <f aca="false">MAX(0,F48+F50-F51)</f>
        <v>15.3880486078125</v>
      </c>
      <c r="G52" s="17" t="n">
        <f aca="false">MAX(0,G48+G50-G51)</f>
        <v>18.4917491203399</v>
      </c>
      <c r="H52" s="17" t="n">
        <f aca="false">MAX(0,H48+H50-H51)</f>
        <v>20.1288820491303</v>
      </c>
    </row>
    <row r="53" customFormat="false" ht="15" hidden="false" customHeight="false" outlineLevel="0" collapsed="false">
      <c r="A53" s="5" t="s">
        <v>309</v>
      </c>
      <c r="B53" s="14" t="s">
        <v>38</v>
      </c>
      <c r="D53" s="17" t="n">
        <f aca="false">MAX(0,D47-D51)</f>
        <v>21.138</v>
      </c>
      <c r="E53" s="17" t="n">
        <f aca="false">MAX(0,E47-E51)</f>
        <v>21.98352</v>
      </c>
      <c r="F53" s="17" t="n">
        <f aca="false">MAX(0,F47-F51)</f>
        <v>22.9727784</v>
      </c>
      <c r="G53" s="17" t="n">
        <f aca="false">MAX(0,G47-G51)</f>
        <v>24.006553428</v>
      </c>
      <c r="H53" s="17" t="n">
        <f aca="false">MAX(0,H47-H51)</f>
        <v>25.08684833226</v>
      </c>
    </row>
    <row r="54" customFormat="false" ht="15" hidden="false" customHeight="false" outlineLevel="0" collapsed="false">
      <c r="A54" s="1" t="s">
        <v>310</v>
      </c>
      <c r="B54" s="14" t="s">
        <v>38</v>
      </c>
      <c r="D54" s="33" t="n">
        <f aca="false">D53*Inputs!$C$67</f>
        <v>5.2845</v>
      </c>
      <c r="E54" s="33" t="n">
        <f aca="false">E53*Inputs!$C$67</f>
        <v>5.49588</v>
      </c>
      <c r="F54" s="33" t="n">
        <f aca="false">F53*Inputs!$C$67</f>
        <v>5.7431946</v>
      </c>
      <c r="G54" s="33" t="n">
        <f aca="false">G53*Inputs!$C$67</f>
        <v>6.001638357</v>
      </c>
      <c r="H54" s="33" t="n">
        <f aca="false">H53*Inputs!$C$67</f>
        <v>6.271712083065</v>
      </c>
    </row>
    <row r="56" customFormat="false" ht="15" hidden="false" customHeight="false" outlineLevel="0" collapsed="false">
      <c r="A56" s="3" t="s">
        <v>311</v>
      </c>
      <c r="B56" s="4"/>
      <c r="C56" s="4"/>
      <c r="D56" s="4"/>
      <c r="E56" s="4"/>
      <c r="F56" s="4"/>
      <c r="G56" s="4"/>
      <c r="H56" s="4"/>
      <c r="I56" s="4"/>
    </row>
    <row r="57" customFormat="false" ht="15" hidden="false" customHeight="false" outlineLevel="0" collapsed="false">
      <c r="A57" s="5" t="s">
        <v>202</v>
      </c>
      <c r="B57" s="14" t="s">
        <v>38</v>
      </c>
      <c r="C57" s="17" t="n">
        <f aca="false">C14*Inputs!$C$66</f>
        <v>33</v>
      </c>
      <c r="D57" s="17" t="n">
        <f aca="false">D14*Inputs!$C$66</f>
        <v>34.32</v>
      </c>
      <c r="E57" s="17" t="n">
        <f aca="false">E14*Inputs!$C$66</f>
        <v>35.6928</v>
      </c>
      <c r="F57" s="17" t="n">
        <f aca="false">F14*Inputs!$C$66</f>
        <v>37.298976</v>
      </c>
      <c r="G57" s="17" t="n">
        <f aca="false">G14*Inputs!$C$66</f>
        <v>38.97742992</v>
      </c>
      <c r="H57" s="17" t="n">
        <f aca="false">H14*Inputs!$C$66</f>
        <v>40.7314142664</v>
      </c>
    </row>
    <row r="58" customFormat="false" ht="15" hidden="false" customHeight="false" outlineLevel="0" collapsed="false">
      <c r="A58" s="5" t="s">
        <v>312</v>
      </c>
      <c r="B58" s="14" t="s">
        <v>38</v>
      </c>
      <c r="D58" s="17" t="n">
        <f aca="false">(IF(AND(INDEX(Inputs!$D$57:$F$57,$C$3)=1,D$7=Inputs!$D$74),Inputs!$D$75,0)+IF(AND(INDEX(Inputs!$D$58:$F$58,$C$3)=1,D$7=Inputs!$E$74),Inputs!$E$75,0))*Inputs!$C$66</f>
        <v>0</v>
      </c>
      <c r="E58" s="17" t="n">
        <f aca="false">(IF(AND(INDEX(Inputs!$D$57:$F$57,$C$3)=1,E$7=Inputs!$D$74),Inputs!$D$75,0)+IF(AND(INDEX(Inputs!$D$58:$F$58,$C$3)=1,E$7=Inputs!$E$74),Inputs!$E$75,0))*Inputs!$C$66</f>
        <v>0</v>
      </c>
      <c r="F58" s="17" t="n">
        <f aca="false">(IF(AND(INDEX(Inputs!$D$57:$F$57,$C$3)=1,F$7=Inputs!$D$74),Inputs!$D$75,0)+IF(AND(INDEX(Inputs!$D$58:$F$58,$C$3)=1,F$7=Inputs!$E$74),Inputs!$E$75,0))*Inputs!$C$66</f>
        <v>0</v>
      </c>
      <c r="G58" s="17" t="n">
        <f aca="false">(IF(AND(INDEX(Inputs!$D$57:$F$57,$C$3)=1,G$7=Inputs!$D$74),Inputs!$D$75,0)+IF(AND(INDEX(Inputs!$D$58:$F$58,$C$3)=1,G$7=Inputs!$E$74),Inputs!$E$75,0))*Inputs!$C$66</f>
        <v>0</v>
      </c>
      <c r="H58" s="17" t="n">
        <f aca="false">(IF(AND(INDEX(Inputs!$D$57:$F$57,$C$3)=1,H$7=Inputs!$D$74),Inputs!$D$75,0)+IF(AND(INDEX(Inputs!$D$58:$F$58,$C$3)=1,H$7=Inputs!$E$74),Inputs!$E$75,0))*Inputs!$C$66</f>
        <v>0</v>
      </c>
    </row>
    <row r="60" customFormat="false" ht="15" hidden="false" customHeight="false" outlineLevel="0" collapsed="false">
      <c r="A60" s="3" t="s">
        <v>313</v>
      </c>
      <c r="B60" s="4"/>
      <c r="C60" s="4"/>
      <c r="D60" s="4"/>
      <c r="E60" s="4"/>
      <c r="F60" s="4"/>
      <c r="G60" s="4"/>
      <c r="H60" s="4"/>
      <c r="I60" s="4"/>
    </row>
    <row r="61" customFormat="false" ht="15" hidden="false" customHeight="false" outlineLevel="0" collapsed="false">
      <c r="A61" s="5" t="s">
        <v>314</v>
      </c>
      <c r="B61" s="14" t="s">
        <v>38</v>
      </c>
      <c r="D61" s="17" t="n">
        <f aca="false">C63</f>
        <v>240</v>
      </c>
      <c r="E61" s="17" t="n">
        <f aca="false">D63</f>
        <v>237.14325</v>
      </c>
      <c r="F61" s="17" t="n">
        <f aca="false">E63</f>
        <v>232.047449375</v>
      </c>
      <c r="G61" s="17" t="n">
        <f aca="false">F63</f>
        <v>223.555204807813</v>
      </c>
      <c r="H61" s="17" t="n">
        <f aca="false">G63</f>
        <v>211.21829484934</v>
      </c>
    </row>
    <row r="62" customFormat="false" ht="15" hidden="false" customHeight="false" outlineLevel="0" collapsed="false">
      <c r="A62" s="5" t="s">
        <v>315</v>
      </c>
      <c r="B62" s="14" t="s">
        <v>38</v>
      </c>
      <c r="D62" s="17" t="n">
        <f aca="false">D77</f>
        <v>-2.85675</v>
      </c>
      <c r="E62" s="17" t="n">
        <f aca="false">E77</f>
        <v>-5.095800625</v>
      </c>
      <c r="F62" s="17" t="n">
        <f aca="false">F77</f>
        <v>-8.49224456718751</v>
      </c>
      <c r="G62" s="17" t="n">
        <f aca="false">G77</f>
        <v>-12.3369099584727</v>
      </c>
      <c r="H62" s="17" t="n">
        <f aca="false">H77</f>
        <v>-14.4983050134046</v>
      </c>
    </row>
    <row r="63" customFormat="false" ht="15" hidden="false" customHeight="false" outlineLevel="0" collapsed="false">
      <c r="A63" s="1" t="s">
        <v>316</v>
      </c>
      <c r="B63" s="14" t="s">
        <v>38</v>
      </c>
      <c r="C63" s="44" t="n">
        <f aca="false">Inputs!$C$29</f>
        <v>240</v>
      </c>
      <c r="D63" s="33" t="n">
        <f aca="false">D61+D62</f>
        <v>237.14325</v>
      </c>
      <c r="E63" s="33" t="n">
        <f aca="false">E61+E62</f>
        <v>232.047449375</v>
      </c>
      <c r="F63" s="33" t="n">
        <f aca="false">F61+F62</f>
        <v>223.555204807813</v>
      </c>
      <c r="G63" s="33" t="n">
        <f aca="false">G61+G62</f>
        <v>211.21829484934</v>
      </c>
      <c r="H63" s="33" t="n">
        <f aca="false">H61+H62</f>
        <v>196.719989835935</v>
      </c>
    </row>
    <row r="64" customFormat="false" ht="15" hidden="false" customHeight="false" outlineLevel="0" collapsed="false">
      <c r="A64" s="5" t="s">
        <v>317</v>
      </c>
      <c r="B64" s="14" t="s">
        <v>38</v>
      </c>
      <c r="D64" s="17" t="n">
        <f aca="false">C66</f>
        <v>0</v>
      </c>
      <c r="E64" s="17" t="n">
        <f aca="false">D66</f>
        <v>0</v>
      </c>
      <c r="F64" s="17" t="n">
        <f aca="false">E66</f>
        <v>0</v>
      </c>
      <c r="G64" s="17" t="n">
        <f aca="false">F66</f>
        <v>0</v>
      </c>
      <c r="H64" s="17" t="n">
        <f aca="false">G66</f>
        <v>0</v>
      </c>
    </row>
    <row r="65" customFormat="false" ht="15" hidden="false" customHeight="false" outlineLevel="0" collapsed="false">
      <c r="A65" s="5" t="s">
        <v>318</v>
      </c>
      <c r="B65" s="14" t="s">
        <v>38</v>
      </c>
      <c r="D65" s="17" t="n">
        <f aca="false">MIN(-D39,Inputs!$C$31-D64)</f>
        <v>0</v>
      </c>
      <c r="E65" s="17" t="n">
        <f aca="false">MIN(-E39,Inputs!$C$31-E64)</f>
        <v>0</v>
      </c>
      <c r="F65" s="17" t="n">
        <f aca="false">MIN(-F39,Inputs!$C$31-F64)</f>
        <v>0</v>
      </c>
      <c r="G65" s="17" t="n">
        <f aca="false">MIN(-G39,Inputs!$C$31-G64)</f>
        <v>0</v>
      </c>
      <c r="H65" s="17" t="n">
        <f aca="false">MIN(-H39,Inputs!$C$31-H64)</f>
        <v>0</v>
      </c>
      <c r="I65" s="15" t="s">
        <v>319</v>
      </c>
    </row>
    <row r="66" customFormat="false" ht="15" hidden="false" customHeight="false" outlineLevel="0" collapsed="false">
      <c r="A66" s="1" t="s">
        <v>320</v>
      </c>
      <c r="B66" s="14" t="s">
        <v>38</v>
      </c>
      <c r="C66" s="45" t="n">
        <v>0</v>
      </c>
      <c r="D66" s="33" t="n">
        <f aca="false">D64+D65</f>
        <v>0</v>
      </c>
      <c r="E66" s="33" t="n">
        <f aca="false">E64+E65</f>
        <v>0</v>
      </c>
      <c r="F66" s="33" t="n">
        <f aca="false">F64+F65</f>
        <v>0</v>
      </c>
      <c r="G66" s="33" t="n">
        <f aca="false">G64+G65</f>
        <v>0</v>
      </c>
      <c r="H66" s="33" t="n">
        <f aca="false">H64+H65</f>
        <v>0</v>
      </c>
    </row>
    <row r="67" customFormat="false" ht="15" hidden="false" customHeight="false" outlineLevel="0" collapsed="false">
      <c r="A67" s="5" t="s">
        <v>321</v>
      </c>
      <c r="B67" s="14" t="s">
        <v>38</v>
      </c>
      <c r="D67" s="17" t="n">
        <f aca="false">C70</f>
        <v>0</v>
      </c>
      <c r="E67" s="17" t="n">
        <f aca="false">D70</f>
        <v>0</v>
      </c>
      <c r="F67" s="17" t="n">
        <f aca="false">E70</f>
        <v>0</v>
      </c>
      <c r="G67" s="17" t="n">
        <f aca="false">F70</f>
        <v>0</v>
      </c>
      <c r="H67" s="17" t="n">
        <f aca="false">G70</f>
        <v>0</v>
      </c>
    </row>
    <row r="68" customFormat="false" ht="15" hidden="false" customHeight="false" outlineLevel="0" collapsed="false">
      <c r="A68" s="5" t="s">
        <v>322</v>
      </c>
      <c r="B68" s="14" t="s">
        <v>38</v>
      </c>
      <c r="D68" s="17" t="n">
        <f aca="false">MIN(MAX(0,Inputs!$C$17-D74),Inputs!$C$32-D67)</f>
        <v>0</v>
      </c>
      <c r="E68" s="17" t="n">
        <f aca="false">MIN(MAX(0,Inputs!$C$17-E74),Inputs!$C$32-E67)</f>
        <v>0</v>
      </c>
      <c r="F68" s="17" t="n">
        <f aca="false">MIN(MAX(0,Inputs!$C$17-F74),Inputs!$C$32-F67)</f>
        <v>0</v>
      </c>
      <c r="G68" s="17" t="n">
        <f aca="false">MIN(MAX(0,Inputs!$C$17-G74),Inputs!$C$32-G67)</f>
        <v>0</v>
      </c>
      <c r="H68" s="17" t="n">
        <f aca="false">MIN(MAX(0,Inputs!$C$17-H74),Inputs!$C$32-H67)</f>
        <v>0</v>
      </c>
    </row>
    <row r="69" customFormat="false" ht="15" hidden="false" customHeight="false" outlineLevel="0" collapsed="false">
      <c r="A69" s="5" t="s">
        <v>323</v>
      </c>
      <c r="B69" s="14" t="s">
        <v>38</v>
      </c>
      <c r="D69" s="17" t="n">
        <f aca="false">-MIN(D67,MAX(0,D74-Inputs!$C$17))</f>
        <v>-0</v>
      </c>
      <c r="E69" s="17" t="n">
        <f aca="false">-MIN(E67,MAX(0,E74-Inputs!$C$17))</f>
        <v>-0</v>
      </c>
      <c r="F69" s="17" t="n">
        <f aca="false">-MIN(F67,MAX(0,F74-Inputs!$C$17))</f>
        <v>-0</v>
      </c>
      <c r="G69" s="17" t="n">
        <f aca="false">-MIN(G67,MAX(0,G74-Inputs!$C$17))</f>
        <v>-0</v>
      </c>
      <c r="H69" s="17" t="n">
        <f aca="false">-MIN(H67,MAX(0,H74-Inputs!$C$17))</f>
        <v>-0</v>
      </c>
    </row>
    <row r="70" customFormat="false" ht="15" hidden="false" customHeight="false" outlineLevel="0" collapsed="false">
      <c r="A70" s="1" t="s">
        <v>324</v>
      </c>
      <c r="B70" s="14" t="s">
        <v>38</v>
      </c>
      <c r="C70" s="45" t="n">
        <v>0</v>
      </c>
      <c r="D70" s="33" t="n">
        <f aca="false">D67+D68+D69</f>
        <v>0</v>
      </c>
      <c r="E70" s="33" t="n">
        <f aca="false">E67+E68+E69</f>
        <v>0</v>
      </c>
      <c r="F70" s="33" t="n">
        <f aca="false">F67+F68+F69</f>
        <v>0</v>
      </c>
      <c r="G70" s="33" t="n">
        <f aca="false">G67+G68+G69</f>
        <v>0</v>
      </c>
      <c r="H70" s="33" t="n">
        <f aca="false">H67+H68+H69</f>
        <v>0</v>
      </c>
    </row>
    <row r="71" customFormat="false" ht="15" hidden="false" customHeight="false" outlineLevel="0" collapsed="false">
      <c r="A71" s="5" t="s">
        <v>325</v>
      </c>
      <c r="B71" s="14" t="s">
        <v>38</v>
      </c>
      <c r="D71" s="17" t="n">
        <f aca="false">C78</f>
        <v>10</v>
      </c>
      <c r="E71" s="17" t="n">
        <f aca="false">D78</f>
        <v>10</v>
      </c>
      <c r="F71" s="17" t="n">
        <f aca="false">E78</f>
        <v>10</v>
      </c>
      <c r="G71" s="17" t="n">
        <f aca="false">F78</f>
        <v>10</v>
      </c>
      <c r="H71" s="17" t="n">
        <f aca="false">G78</f>
        <v>10</v>
      </c>
    </row>
    <row r="72" customFormat="false" ht="15" hidden="false" customHeight="false" outlineLevel="0" collapsed="false">
      <c r="A72" s="5" t="s">
        <v>299</v>
      </c>
      <c r="B72" s="14" t="s">
        <v>38</v>
      </c>
      <c r="D72" s="17" t="n">
        <f aca="false">D40</f>
        <v>2.85675</v>
      </c>
      <c r="E72" s="17" t="n">
        <f aca="false">E40</f>
        <v>5.095800625</v>
      </c>
      <c r="F72" s="17" t="n">
        <f aca="false">F40</f>
        <v>8.49224456718751</v>
      </c>
      <c r="G72" s="17" t="n">
        <f aca="false">G40</f>
        <v>12.3369099584727</v>
      </c>
      <c r="H72" s="17" t="n">
        <f aca="false">H40</f>
        <v>14.4983050134046</v>
      </c>
    </row>
    <row r="73" customFormat="false" ht="15" hidden="false" customHeight="false" outlineLevel="0" collapsed="false">
      <c r="A73" s="5" t="s">
        <v>326</v>
      </c>
      <c r="B73" s="14" t="s">
        <v>38</v>
      </c>
      <c r="D73" s="17" t="n">
        <f aca="false">D65</f>
        <v>0</v>
      </c>
      <c r="E73" s="17" t="n">
        <f aca="false">E65</f>
        <v>0</v>
      </c>
      <c r="F73" s="17" t="n">
        <f aca="false">F65</f>
        <v>0</v>
      </c>
      <c r="G73" s="17" t="n">
        <f aca="false">G65</f>
        <v>0</v>
      </c>
      <c r="H73" s="17" t="n">
        <f aca="false">H65</f>
        <v>0</v>
      </c>
    </row>
    <row r="74" customFormat="false" ht="15" hidden="false" customHeight="false" outlineLevel="0" collapsed="false">
      <c r="A74" s="1" t="s">
        <v>327</v>
      </c>
      <c r="B74" s="14" t="s">
        <v>38</v>
      </c>
      <c r="D74" s="33" t="n">
        <f aca="false">D71+D72+D73</f>
        <v>12.85675</v>
      </c>
      <c r="E74" s="33" t="n">
        <f aca="false">E71+E72+E73</f>
        <v>15.095800625</v>
      </c>
      <c r="F74" s="33" t="n">
        <f aca="false">F71+F72+F73</f>
        <v>18.4922445671875</v>
      </c>
      <c r="G74" s="33" t="n">
        <f aca="false">G71+G72+G73</f>
        <v>22.3369099584727</v>
      </c>
      <c r="H74" s="33" t="n">
        <f aca="false">H71+H72+H73</f>
        <v>24.4983050134046</v>
      </c>
    </row>
    <row r="75" customFormat="false" ht="15" hidden="false" customHeight="false" outlineLevel="0" collapsed="false">
      <c r="A75" s="5" t="s">
        <v>328</v>
      </c>
      <c r="B75" s="14" t="s">
        <v>38</v>
      </c>
      <c r="D75" s="17" t="n">
        <f aca="false">D68+D69</f>
        <v>0</v>
      </c>
      <c r="E75" s="17" t="n">
        <f aca="false">E68+E69</f>
        <v>0</v>
      </c>
      <c r="F75" s="17" t="n">
        <f aca="false">F68+F69</f>
        <v>0</v>
      </c>
      <c r="G75" s="17" t="n">
        <f aca="false">G68+G69</f>
        <v>0</v>
      </c>
      <c r="H75" s="17" t="n">
        <f aca="false">H68+H69</f>
        <v>0</v>
      </c>
    </row>
    <row r="76" customFormat="false" ht="15" hidden="false" customHeight="false" outlineLevel="0" collapsed="false">
      <c r="A76" s="1" t="s">
        <v>329</v>
      </c>
      <c r="B76" s="14" t="s">
        <v>38</v>
      </c>
      <c r="D76" s="33" t="n">
        <f aca="false">D74+D75</f>
        <v>12.85675</v>
      </c>
      <c r="E76" s="33" t="n">
        <f aca="false">E74+E75</f>
        <v>15.095800625</v>
      </c>
      <c r="F76" s="33" t="n">
        <f aca="false">F74+F75</f>
        <v>18.4922445671875</v>
      </c>
      <c r="G76" s="33" t="n">
        <f aca="false">G74+G75</f>
        <v>22.3369099584727</v>
      </c>
      <c r="H76" s="33" t="n">
        <f aca="false">H74+H75</f>
        <v>24.4983050134046</v>
      </c>
    </row>
    <row r="77" customFormat="false" ht="15" hidden="false" customHeight="false" outlineLevel="0" collapsed="false">
      <c r="A77" s="5" t="s">
        <v>330</v>
      </c>
      <c r="B77" s="14" t="s">
        <v>38</v>
      </c>
      <c r="D77" s="17" t="n">
        <f aca="false">-MIN(D61,MAX(0,D76-Inputs!$C$17)*Inputs!$C$40)</f>
        <v>-2.85675</v>
      </c>
      <c r="E77" s="17" t="n">
        <f aca="false">-MIN(E61,MAX(0,E76-Inputs!$C$17)*Inputs!$C$40)</f>
        <v>-5.095800625</v>
      </c>
      <c r="F77" s="17" t="n">
        <f aca="false">-MIN(F61,MAX(0,F76-Inputs!$C$17)*Inputs!$C$40)</f>
        <v>-8.49224456718751</v>
      </c>
      <c r="G77" s="17" t="n">
        <f aca="false">-MIN(G61,MAX(0,G76-Inputs!$C$17)*Inputs!$C$40)</f>
        <v>-12.3369099584727</v>
      </c>
      <c r="H77" s="17" t="n">
        <f aca="false">-MIN(H61,MAX(0,H76-Inputs!$C$17)*Inputs!$C$40)</f>
        <v>-14.4983050134046</v>
      </c>
      <c r="I77" s="15" t="s">
        <v>331</v>
      </c>
    </row>
    <row r="78" customFormat="false" ht="15" hidden="false" customHeight="false" outlineLevel="0" collapsed="false">
      <c r="A78" s="1" t="s">
        <v>332</v>
      </c>
      <c r="B78" s="14" t="s">
        <v>38</v>
      </c>
      <c r="C78" s="44" t="n">
        <f aca="false">Inputs!$C$17</f>
        <v>10</v>
      </c>
      <c r="D78" s="33" t="n">
        <f aca="false">D76+D77</f>
        <v>10</v>
      </c>
      <c r="E78" s="33" t="n">
        <f aca="false">E76+E77</f>
        <v>10</v>
      </c>
      <c r="F78" s="33" t="n">
        <f aca="false">F76+F77</f>
        <v>10</v>
      </c>
      <c r="G78" s="33" t="n">
        <f aca="false">G76+G77</f>
        <v>10</v>
      </c>
      <c r="H78" s="33" t="n">
        <f aca="false">H76+H77</f>
        <v>10</v>
      </c>
    </row>
    <row r="80" customFormat="false" ht="15" hidden="false" customHeight="false" outlineLevel="0" collapsed="false">
      <c r="A80" s="3" t="s">
        <v>333</v>
      </c>
      <c r="B80" s="4"/>
      <c r="C80" s="4"/>
      <c r="D80" s="4"/>
      <c r="E80" s="4"/>
      <c r="F80" s="4"/>
      <c r="G80" s="4"/>
      <c r="H80" s="4"/>
      <c r="I80" s="4"/>
    </row>
    <row r="81" customFormat="false" ht="15" hidden="false" customHeight="false" outlineLevel="0" collapsed="false">
      <c r="A81" s="5" t="s">
        <v>334</v>
      </c>
      <c r="B81" s="14" t="s">
        <v>38</v>
      </c>
      <c r="D81" s="17" t="n">
        <f aca="false">D61*(Inputs!$C$34+Inputs!$C$35)</f>
        <v>16.2</v>
      </c>
      <c r="E81" s="17" t="n">
        <f aca="false">E61*(Inputs!$C$34+Inputs!$C$35)</f>
        <v>16.007169375</v>
      </c>
      <c r="F81" s="17" t="n">
        <f aca="false">F61*(Inputs!$C$34+Inputs!$C$35)</f>
        <v>15.6632028328125</v>
      </c>
      <c r="G81" s="17" t="n">
        <f aca="false">G61*(Inputs!$C$34+Inputs!$C$35)</f>
        <v>15.0899763245273</v>
      </c>
      <c r="H81" s="17" t="n">
        <f aca="false">H61*(Inputs!$C$34+Inputs!$C$35)</f>
        <v>14.2572349023304</v>
      </c>
    </row>
    <row r="82" customFormat="false" ht="15" hidden="false" customHeight="false" outlineLevel="0" collapsed="false">
      <c r="A82" s="5" t="s">
        <v>335</v>
      </c>
      <c r="B82" s="14" t="s">
        <v>38</v>
      </c>
      <c r="D82" s="17" t="n">
        <f aca="false">(D64+D65)*(Inputs!$C$34+Inputs!$C$36)</f>
        <v>0</v>
      </c>
      <c r="E82" s="17" t="n">
        <f aca="false">(E64+E65)*(Inputs!$C$34+Inputs!$C$36)</f>
        <v>0</v>
      </c>
      <c r="F82" s="17" t="n">
        <f aca="false">(F64+F65)*(Inputs!$C$34+Inputs!$C$36)</f>
        <v>0</v>
      </c>
      <c r="G82" s="17" t="n">
        <f aca="false">(G64+G65)*(Inputs!$C$34+Inputs!$C$36)</f>
        <v>0</v>
      </c>
      <c r="H82" s="17" t="n">
        <f aca="false">(H64+H65)*(Inputs!$C$34+Inputs!$C$36)</f>
        <v>0</v>
      </c>
    </row>
    <row r="83" customFormat="false" ht="15" hidden="false" customHeight="false" outlineLevel="0" collapsed="false">
      <c r="A83" s="5" t="s">
        <v>336</v>
      </c>
      <c r="B83" s="14" t="s">
        <v>38</v>
      </c>
      <c r="D83" s="17" t="n">
        <f aca="false">D67*(Inputs!$C$34+Inputs!$C$37)</f>
        <v>0</v>
      </c>
      <c r="E83" s="17" t="n">
        <f aca="false">E67*(Inputs!$C$34+Inputs!$C$37)</f>
        <v>0</v>
      </c>
      <c r="F83" s="17" t="n">
        <f aca="false">F67*(Inputs!$C$34+Inputs!$C$37)</f>
        <v>0</v>
      </c>
      <c r="G83" s="17" t="n">
        <f aca="false">G67*(Inputs!$C$34+Inputs!$C$37)</f>
        <v>0</v>
      </c>
      <c r="H83" s="17" t="n">
        <f aca="false">H67*(Inputs!$C$34+Inputs!$C$37)</f>
        <v>0</v>
      </c>
    </row>
    <row r="84" customFormat="false" ht="15" hidden="false" customHeight="false" outlineLevel="0" collapsed="false">
      <c r="A84" s="5" t="s">
        <v>337</v>
      </c>
      <c r="B84" s="14" t="s">
        <v>38</v>
      </c>
      <c r="D84" s="17" t="n">
        <f aca="false">Inputs!$C$38*(Inputs!$C$36*(Inputs!$C$31-D64-D65)+Inputs!$C$37*(Inputs!$C$32-D67))</f>
        <v>2.24875</v>
      </c>
      <c r="E84" s="17" t="n">
        <f aca="false">Inputs!$C$38*(Inputs!$C$36*(Inputs!$C$31-E64-E65)+Inputs!$C$37*(Inputs!$C$32-E67))</f>
        <v>2.24875</v>
      </c>
      <c r="F84" s="17" t="n">
        <f aca="false">Inputs!$C$38*(Inputs!$C$36*(Inputs!$C$31-F64-F65)+Inputs!$C$37*(Inputs!$C$32-F67))</f>
        <v>2.24875</v>
      </c>
      <c r="G84" s="17" t="n">
        <f aca="false">Inputs!$C$38*(Inputs!$C$36*(Inputs!$C$31-G64-G65)+Inputs!$C$37*(Inputs!$C$32-G67))</f>
        <v>2.24875</v>
      </c>
      <c r="H84" s="17" t="n">
        <f aca="false">Inputs!$C$38*(Inputs!$C$36*(Inputs!$C$31-H64-H65)+Inputs!$C$37*(Inputs!$C$32-H67))</f>
        <v>2.24875</v>
      </c>
    </row>
    <row r="85" customFormat="false" ht="15" hidden="false" customHeight="false" outlineLevel="0" collapsed="false">
      <c r="A85" s="5" t="s">
        <v>88</v>
      </c>
      <c r="B85" s="14" t="s">
        <v>38</v>
      </c>
      <c r="D85" s="17" t="n">
        <f aca="false">-D71*Inputs!$C$39</f>
        <v>-0.15</v>
      </c>
      <c r="E85" s="17" t="n">
        <f aca="false">-E71*Inputs!$C$39</f>
        <v>-0.15</v>
      </c>
      <c r="F85" s="17" t="n">
        <f aca="false">-F71*Inputs!$C$39</f>
        <v>-0.15</v>
      </c>
      <c r="G85" s="17" t="n">
        <f aca="false">-G71*Inputs!$C$39</f>
        <v>-0.15</v>
      </c>
      <c r="H85" s="17" t="n">
        <f aca="false">-H71*Inputs!$C$39</f>
        <v>-0.15</v>
      </c>
    </row>
    <row r="86" customFormat="false" ht="15" hidden="false" customHeight="false" outlineLevel="0" collapsed="false">
      <c r="A86" s="1" t="s">
        <v>295</v>
      </c>
      <c r="B86" s="14" t="s">
        <v>38</v>
      </c>
      <c r="D86" s="33" t="n">
        <f aca="false">SUM(D81:D85)</f>
        <v>18.29875</v>
      </c>
      <c r="E86" s="33" t="n">
        <f aca="false">SUM(E81:E85)</f>
        <v>18.105919375</v>
      </c>
      <c r="F86" s="33" t="n">
        <f aca="false">SUM(F81:F85)</f>
        <v>17.7619528328125</v>
      </c>
      <c r="G86" s="33" t="n">
        <f aca="false">SUM(G81:G85)</f>
        <v>17.1887263245273</v>
      </c>
      <c r="H86" s="33" t="n">
        <f aca="false">SUM(H81:H85)</f>
        <v>16.3559849023304</v>
      </c>
    </row>
    <row r="88" customFormat="false" ht="15" hidden="false" customHeight="false" outlineLevel="0" collapsed="false">
      <c r="A88" s="3" t="s">
        <v>338</v>
      </c>
      <c r="B88" s="4"/>
      <c r="C88" s="4"/>
      <c r="D88" s="4"/>
      <c r="E88" s="4"/>
      <c r="F88" s="4"/>
      <c r="G88" s="4"/>
      <c r="H88" s="4"/>
      <c r="I88" s="4"/>
    </row>
    <row r="89" customFormat="false" ht="15" hidden="false" customHeight="false" outlineLevel="0" collapsed="false">
      <c r="A89" s="5" t="s">
        <v>339</v>
      </c>
      <c r="B89" s="14" t="s">
        <v>38</v>
      </c>
      <c r="C89" s="17" t="n">
        <f aca="false">C63+C66+C70</f>
        <v>240</v>
      </c>
      <c r="D89" s="17" t="n">
        <f aca="false">D63+D66+D70</f>
        <v>237.14325</v>
      </c>
      <c r="E89" s="17" t="n">
        <f aca="false">E63+E66+E70</f>
        <v>232.047449375</v>
      </c>
      <c r="F89" s="17" t="n">
        <f aca="false">F63+F66+F70</f>
        <v>223.555204807813</v>
      </c>
      <c r="G89" s="17" t="n">
        <f aca="false">G63+G66+G70</f>
        <v>211.21829484934</v>
      </c>
      <c r="H89" s="17" t="n">
        <f aca="false">H63+H66+H70</f>
        <v>196.719989835935</v>
      </c>
    </row>
    <row r="90" customFormat="false" ht="15" hidden="false" customHeight="false" outlineLevel="0" collapsed="false">
      <c r="A90" s="1" t="s">
        <v>340</v>
      </c>
      <c r="B90" s="14" t="s">
        <v>38</v>
      </c>
      <c r="C90" s="33" t="n">
        <f aca="false">C89-C78</f>
        <v>230</v>
      </c>
      <c r="D90" s="33" t="n">
        <f aca="false">D89-D78</f>
        <v>227.14325</v>
      </c>
      <c r="E90" s="33" t="n">
        <f aca="false">E89-E78</f>
        <v>222.047449375</v>
      </c>
      <c r="F90" s="33" t="n">
        <f aca="false">F89-F78</f>
        <v>213.555204807813</v>
      </c>
      <c r="G90" s="33" t="n">
        <f aca="false">G89-G78</f>
        <v>201.21829484934</v>
      </c>
      <c r="H90" s="33" t="n">
        <f aca="false">H89-H78</f>
        <v>186.719989835935</v>
      </c>
    </row>
    <row r="91" customFormat="false" ht="15" hidden="false" customHeight="false" outlineLevel="0" collapsed="false">
      <c r="A91" s="5" t="s">
        <v>341</v>
      </c>
      <c r="B91" s="14" t="s">
        <v>44</v>
      </c>
      <c r="C91" s="18" t="n">
        <f aca="false">C90/C24</f>
        <v>5.75</v>
      </c>
      <c r="D91" s="18" t="n">
        <f aca="false">D90/D24</f>
        <v>5.49451499758103</v>
      </c>
      <c r="E91" s="18" t="n">
        <f aca="false">E90/E24</f>
        <v>5.16466286551952</v>
      </c>
      <c r="F91" s="18" t="n">
        <f aca="false">F90/F24</f>
        <v>4.75324345165277</v>
      </c>
      <c r="G91" s="18" t="n">
        <f aca="false">G90/G24</f>
        <v>4.28579182321217</v>
      </c>
      <c r="H91" s="18" t="n">
        <f aca="false">H90/H24</f>
        <v>3.80573138798326</v>
      </c>
    </row>
    <row r="92" customFormat="false" ht="15" hidden="false" customHeight="false" outlineLevel="0" collapsed="false">
      <c r="A92" s="5" t="s">
        <v>342</v>
      </c>
      <c r="B92" s="14" t="s">
        <v>44</v>
      </c>
      <c r="D92" s="18" t="n">
        <f aca="false">D24/D86</f>
        <v>2.25917070838172</v>
      </c>
      <c r="E92" s="18" t="n">
        <f aca="false">E24/E86</f>
        <v>2.37456044675445</v>
      </c>
      <c r="F92" s="18" t="n">
        <f aca="false">F24/F86</f>
        <v>2.52946916495588</v>
      </c>
      <c r="G92" s="18" t="n">
        <f aca="false">G24/G86</f>
        <v>2.73144648146529</v>
      </c>
      <c r="H92" s="18" t="n">
        <f aca="false">H24/H86</f>
        <v>2.99968728295961</v>
      </c>
    </row>
    <row r="93" customFormat="false" ht="15" hidden="false" customHeight="false" outlineLevel="0" collapsed="false">
      <c r="A93" s="5" t="s">
        <v>343</v>
      </c>
      <c r="B93" s="14" t="s">
        <v>54</v>
      </c>
      <c r="C93" s="28" t="n">
        <f aca="false">1-C91/Inputs!$C$41</f>
        <v>0.303030303030303</v>
      </c>
      <c r="D93" s="28" t="n">
        <f aca="false">1-D91/Inputs!$C$41</f>
        <v>0.33399818211139</v>
      </c>
      <c r="E93" s="28" t="n">
        <f aca="false">1-E91/Inputs!$C$41</f>
        <v>0.373980258724907</v>
      </c>
      <c r="F93" s="28" t="n">
        <f aca="false">1-F91/Inputs!$C$41</f>
        <v>0.423849278587543</v>
      </c>
      <c r="G93" s="28" t="n">
        <f aca="false">1-G91/Inputs!$C$41</f>
        <v>0.480510082034888</v>
      </c>
      <c r="H93" s="28" t="n">
        <f aca="false">1-H91/Inputs!$C$41</f>
        <v>0.538699225698998</v>
      </c>
      <c r="I93" s="15" t="s">
        <v>344</v>
      </c>
    </row>
    <row r="94" customFormat="false" ht="15" hidden="false" customHeight="false" outlineLevel="0" collapsed="false">
      <c r="A94" s="34" t="s">
        <v>345</v>
      </c>
      <c r="B94" s="14" t="s">
        <v>38</v>
      </c>
      <c r="D94" s="39" t="n">
        <f aca="false">D90-(C90-D40)</f>
        <v>0</v>
      </c>
      <c r="E94" s="39" t="n">
        <f aca="false">E90-(D90-E40)</f>
        <v>0</v>
      </c>
      <c r="F94" s="39" t="n">
        <f aca="false">F90-(E90-F40)</f>
        <v>0</v>
      </c>
      <c r="G94" s="39" t="n">
        <f aca="false">G90-(F90-G40)</f>
        <v>0</v>
      </c>
      <c r="H94" s="39" t="n">
        <f aca="false">H90-(G90-H40)</f>
        <v>0</v>
      </c>
    </row>
    <row r="96" customFormat="false" ht="15" hidden="false" customHeight="false" outlineLevel="0" collapsed="false">
      <c r="A96" s="3" t="s">
        <v>346</v>
      </c>
      <c r="B96" s="4"/>
      <c r="C96" s="4"/>
      <c r="D96" s="4"/>
      <c r="E96" s="4"/>
      <c r="F96" s="4"/>
      <c r="G96" s="4"/>
      <c r="H96" s="4"/>
      <c r="I96" s="4"/>
    </row>
    <row r="97" customFormat="false" ht="15" hidden="false" customHeight="false" outlineLevel="0" collapsed="false">
      <c r="A97" s="5" t="s">
        <v>347</v>
      </c>
      <c r="B97" s="14" t="s">
        <v>38</v>
      </c>
      <c r="C97" s="17" t="n">
        <f aca="false">H24</f>
        <v>49.0628399118</v>
      </c>
    </row>
    <row r="98" customFormat="false" ht="15" hidden="false" customHeight="false" outlineLevel="0" collapsed="false">
      <c r="A98" s="5" t="s">
        <v>348</v>
      </c>
      <c r="B98" s="14" t="s">
        <v>44</v>
      </c>
      <c r="C98" s="18" t="n">
        <f aca="false">INDEX(Inputs!$D$59:$F$59,$C$3)</f>
        <v>12</v>
      </c>
    </row>
    <row r="99" customFormat="false" ht="15" hidden="false" customHeight="false" outlineLevel="0" collapsed="false">
      <c r="A99" s="5" t="s">
        <v>349</v>
      </c>
      <c r="B99" s="14" t="s">
        <v>38</v>
      </c>
      <c r="C99" s="17" t="n">
        <f aca="false">C97*C98</f>
        <v>588.7540789416</v>
      </c>
    </row>
    <row r="100" customFormat="false" ht="15" hidden="false" customHeight="false" outlineLevel="0" collapsed="false">
      <c r="A100" s="5" t="s">
        <v>350</v>
      </c>
      <c r="B100" s="14" t="s">
        <v>38</v>
      </c>
      <c r="C100" s="17" t="n">
        <f aca="false">-C99*Inputs!$C$70</f>
        <v>-8.831311184124</v>
      </c>
    </row>
    <row r="101" customFormat="false" ht="15" hidden="false" customHeight="false" outlineLevel="0" collapsed="false">
      <c r="A101" s="5" t="s">
        <v>351</v>
      </c>
      <c r="B101" s="14" t="s">
        <v>38</v>
      </c>
      <c r="C101" s="17" t="n">
        <f aca="false">-H90</f>
        <v>-186.719989835935</v>
      </c>
    </row>
    <row r="102" customFormat="false" ht="15" hidden="false" customHeight="false" outlineLevel="0" collapsed="false">
      <c r="A102" s="1" t="s">
        <v>352</v>
      </c>
      <c r="B102" s="14" t="s">
        <v>38</v>
      </c>
      <c r="C102" s="33" t="n">
        <f aca="false">SUM(C99:C101)</f>
        <v>393.202777921541</v>
      </c>
    </row>
    <row r="103" customFormat="false" ht="15" hidden="false" customHeight="false" outlineLevel="0" collapsed="false">
      <c r="A103" s="5" t="s">
        <v>353</v>
      </c>
      <c r="B103" s="14" t="s">
        <v>38</v>
      </c>
      <c r="C103" s="9" t="n">
        <f aca="false">Transaction!$C$20</f>
        <v>328.2</v>
      </c>
      <c r="I103" s="15" t="s">
        <v>354</v>
      </c>
    </row>
    <row r="104" customFormat="false" ht="15" hidden="false" customHeight="false" outlineLevel="0" collapsed="false">
      <c r="A104" s="5" t="s">
        <v>355</v>
      </c>
      <c r="B104" s="14" t="s">
        <v>38</v>
      </c>
      <c r="C104" s="17" t="n">
        <f aca="false">C102-C103</f>
        <v>65.0027779215405</v>
      </c>
    </row>
    <row r="105" customFormat="false" ht="15" hidden="false" customHeight="false" outlineLevel="0" collapsed="false">
      <c r="A105" s="5" t="s">
        <v>356</v>
      </c>
      <c r="B105" s="14" t="s">
        <v>38</v>
      </c>
      <c r="C105" s="17" t="n">
        <f aca="false">-Inputs!$C$20*MAX(0,C104)</f>
        <v>-6.50027779215406</v>
      </c>
    </row>
    <row r="106" customFormat="false" ht="15" hidden="false" customHeight="false" outlineLevel="0" collapsed="false">
      <c r="A106" s="1" t="s">
        <v>357</v>
      </c>
      <c r="B106" s="14" t="s">
        <v>38</v>
      </c>
      <c r="C106" s="33" t="n">
        <f aca="false">C102+C105</f>
        <v>386.702500129387</v>
      </c>
    </row>
    <row r="107" customFormat="false" ht="15" hidden="false" customHeight="false" outlineLevel="0" collapsed="false">
      <c r="A107" s="5" t="s">
        <v>358</v>
      </c>
      <c r="B107" s="14" t="s">
        <v>44</v>
      </c>
      <c r="C107" s="41" t="n">
        <f aca="false">C106/C103</f>
        <v>1.17825259027845</v>
      </c>
    </row>
    <row r="108" customFormat="false" ht="15" hidden="false" customHeight="false" outlineLevel="0" collapsed="false">
      <c r="A108" s="5" t="s">
        <v>359</v>
      </c>
      <c r="B108" s="14" t="s">
        <v>38</v>
      </c>
      <c r="C108" s="17" t="n">
        <f aca="false">-C103</f>
        <v>-328.2</v>
      </c>
      <c r="D108" s="19" t="n">
        <v>0</v>
      </c>
      <c r="E108" s="19" t="n">
        <v>0</v>
      </c>
      <c r="F108" s="19" t="n">
        <v>0</v>
      </c>
      <c r="G108" s="19" t="n">
        <v>0</v>
      </c>
      <c r="H108" s="17" t="n">
        <f aca="false">$C$106</f>
        <v>386.702500129387</v>
      </c>
    </row>
    <row r="109" customFormat="false" ht="15" hidden="false" customHeight="false" outlineLevel="0" collapsed="false">
      <c r="A109" s="5" t="s">
        <v>360</v>
      </c>
      <c r="B109" s="14" t="s">
        <v>54</v>
      </c>
      <c r="C109" s="28" t="n">
        <f aca="false">IRR(C108:H108)</f>
        <v>0.0333505635076053</v>
      </c>
      <c r="I109" s="15" t="s">
        <v>361</v>
      </c>
    </row>
    <row r="110" customFormat="false" ht="15" hidden="false" customHeight="false" outlineLevel="0" collapsed="false">
      <c r="A110" s="34" t="s">
        <v>362</v>
      </c>
      <c r="B110" s="14" t="s">
        <v>54</v>
      </c>
      <c r="C110" s="35" t="n">
        <f aca="false">C109-(C107^(1/H$6)-1)</f>
        <v>0</v>
      </c>
    </row>
    <row r="112" customFormat="false" ht="15" hidden="false" customHeight="false" outlineLevel="0" collapsed="false">
      <c r="A112" s="3" t="s">
        <v>363</v>
      </c>
      <c r="B112" s="4"/>
      <c r="C112" s="4"/>
      <c r="D112" s="4"/>
      <c r="E112" s="4"/>
      <c r="F112" s="4"/>
      <c r="G112" s="4"/>
      <c r="H112" s="4"/>
      <c r="I112" s="4"/>
    </row>
    <row r="113" customFormat="false" ht="15" hidden="false" customHeight="false" outlineLevel="0" collapsed="false">
      <c r="A113" s="5" t="s">
        <v>349</v>
      </c>
      <c r="B113" s="14" t="s">
        <v>38</v>
      </c>
      <c r="D113" s="17" t="n">
        <f aca="false">D24*$C$98</f>
        <v>496.08</v>
      </c>
      <c r="E113" s="17" t="n">
        <f aca="false">E24*$C$98</f>
        <v>515.9232</v>
      </c>
      <c r="F113" s="17" t="n">
        <f aca="false">F24*$C$98</f>
        <v>539.139744</v>
      </c>
      <c r="G113" s="17" t="n">
        <f aca="false">G24*$C$98</f>
        <v>563.40103248</v>
      </c>
      <c r="H113" s="17" t="n">
        <f aca="false">H24*$C$98</f>
        <v>588.7540789416</v>
      </c>
    </row>
    <row r="114" customFormat="false" ht="15" hidden="false" customHeight="false" outlineLevel="0" collapsed="false">
      <c r="A114" s="5" t="s">
        <v>350</v>
      </c>
      <c r="B114" s="14" t="s">
        <v>38</v>
      </c>
      <c r="D114" s="17" t="n">
        <f aca="false">-D113*Inputs!$C$70</f>
        <v>-7.4412</v>
      </c>
      <c r="E114" s="17" t="n">
        <f aca="false">-E113*Inputs!$C$70</f>
        <v>-7.738848</v>
      </c>
      <c r="F114" s="17" t="n">
        <f aca="false">-F113*Inputs!$C$70</f>
        <v>-8.08709616</v>
      </c>
      <c r="G114" s="17" t="n">
        <f aca="false">-G113*Inputs!$C$70</f>
        <v>-8.4510154872</v>
      </c>
      <c r="H114" s="17" t="n">
        <f aca="false">-H113*Inputs!$C$70</f>
        <v>-8.831311184124</v>
      </c>
    </row>
    <row r="115" customFormat="false" ht="15" hidden="false" customHeight="false" outlineLevel="0" collapsed="false">
      <c r="A115" s="5" t="s">
        <v>340</v>
      </c>
      <c r="B115" s="14" t="s">
        <v>38</v>
      </c>
      <c r="D115" s="17" t="n">
        <f aca="false">-D90</f>
        <v>-227.14325</v>
      </c>
      <c r="E115" s="17" t="n">
        <f aca="false">-E90</f>
        <v>-222.047449375</v>
      </c>
      <c r="F115" s="17" t="n">
        <f aca="false">-F90</f>
        <v>-213.555204807813</v>
      </c>
      <c r="G115" s="17" t="n">
        <f aca="false">-G90</f>
        <v>-201.21829484934</v>
      </c>
      <c r="H115" s="17" t="n">
        <f aca="false">-H90</f>
        <v>-186.719989835935</v>
      </c>
    </row>
    <row r="116" customFormat="false" ht="15" hidden="false" customHeight="false" outlineLevel="0" collapsed="false">
      <c r="A116" s="5" t="s">
        <v>352</v>
      </c>
      <c r="B116" s="14" t="s">
        <v>38</v>
      </c>
      <c r="D116" s="17" t="n">
        <f aca="false">SUM(D113:D115)</f>
        <v>261.49555</v>
      </c>
      <c r="E116" s="17" t="n">
        <f aca="false">SUM(E113:E115)</f>
        <v>286.136902625</v>
      </c>
      <c r="F116" s="17" t="n">
        <f aca="false">SUM(F113:F115)</f>
        <v>317.497443032187</v>
      </c>
      <c r="G116" s="17" t="n">
        <f aca="false">SUM(G113:G115)</f>
        <v>353.73172214346</v>
      </c>
      <c r="H116" s="17" t="n">
        <f aca="false">SUM(H113:H115)</f>
        <v>393.202777921541</v>
      </c>
    </row>
    <row r="117" customFormat="false" ht="15" hidden="false" customHeight="false" outlineLevel="0" collapsed="false">
      <c r="A117" s="5" t="s">
        <v>364</v>
      </c>
      <c r="B117" s="14" t="s">
        <v>38</v>
      </c>
      <c r="D117" s="17" t="n">
        <f aca="false">-Inputs!$C$20*MAX(0,D116-$C$103)</f>
        <v>-0</v>
      </c>
      <c r="E117" s="17" t="n">
        <f aca="false">-Inputs!$C$20*MAX(0,E116-$C$103)</f>
        <v>-0</v>
      </c>
      <c r="F117" s="17" t="n">
        <f aca="false">-Inputs!$C$20*MAX(0,F116-$C$103)</f>
        <v>-0</v>
      </c>
      <c r="G117" s="17" t="n">
        <f aca="false">-Inputs!$C$20*MAX(0,G116-$C$103)</f>
        <v>-2.553172214346</v>
      </c>
      <c r="H117" s="17" t="n">
        <f aca="false">-Inputs!$C$20*MAX(0,H116-$C$103)</f>
        <v>-6.50027779215406</v>
      </c>
    </row>
    <row r="118" customFormat="false" ht="15" hidden="false" customHeight="false" outlineLevel="0" collapsed="false">
      <c r="A118" s="5" t="s">
        <v>365</v>
      </c>
      <c r="B118" s="14" t="s">
        <v>38</v>
      </c>
      <c r="D118" s="17" t="n">
        <f aca="false">D116+D117</f>
        <v>261.49555</v>
      </c>
      <c r="E118" s="17" t="n">
        <f aca="false">E116+E117</f>
        <v>286.136902625</v>
      </c>
      <c r="F118" s="17" t="n">
        <f aca="false">F116+F117</f>
        <v>317.497443032187</v>
      </c>
      <c r="G118" s="17" t="n">
        <f aca="false">G116+G117</f>
        <v>351.178549929114</v>
      </c>
      <c r="H118" s="17" t="n">
        <f aca="false">H116+H117</f>
        <v>386.702500129387</v>
      </c>
    </row>
    <row r="119" customFormat="false" ht="15" hidden="false" customHeight="false" outlineLevel="0" collapsed="false">
      <c r="A119" s="5" t="s">
        <v>32</v>
      </c>
      <c r="B119" s="14" t="s">
        <v>44</v>
      </c>
      <c r="D119" s="41" t="n">
        <f aca="false">D118/$C$103</f>
        <v>0.796756703229738</v>
      </c>
      <c r="E119" s="41" t="n">
        <f aca="false">E118/$C$103</f>
        <v>0.871836997638635</v>
      </c>
      <c r="F119" s="41" t="n">
        <f aca="false">F118/$C$103</f>
        <v>0.96739013720959</v>
      </c>
      <c r="G119" s="41" t="n">
        <f aca="false">G118/$C$103</f>
        <v>1.07001386328188</v>
      </c>
      <c r="H119" s="41" t="n">
        <f aca="false">H118/$C$103</f>
        <v>1.17825259027845</v>
      </c>
    </row>
    <row r="120" customFormat="false" ht="15" hidden="false" customHeight="false" outlineLevel="0" collapsed="false">
      <c r="A120" s="5" t="s">
        <v>31</v>
      </c>
      <c r="B120" s="14" t="s">
        <v>54</v>
      </c>
      <c r="D120" s="28" t="n">
        <f aca="false">IF(D119&gt;0,D119^(1/D$6)-1,-1)</f>
        <v>-0.203243296770262</v>
      </c>
      <c r="E120" s="28" t="n">
        <f aca="false">IF(E119&gt;0,E119^(1/E$6)-1,-1)</f>
        <v>-0.0662778798600544</v>
      </c>
      <c r="F120" s="28" t="n">
        <f aca="false">IF(F119&gt;0,F119^(1/F$6)-1,-1)</f>
        <v>-0.0109902984292217</v>
      </c>
      <c r="G120" s="28" t="n">
        <f aca="false">IF(G119&gt;0,G119^(1/G$6)-1,-1)</f>
        <v>0.0170618193243624</v>
      </c>
      <c r="H120" s="28" t="n">
        <f aca="false">IF(H119&gt;0,H119^(1/H$6)-1,-1)</f>
        <v>0.0333505635076052</v>
      </c>
      <c r="I120" s="15" t="s">
        <v>366</v>
      </c>
    </row>
    <row r="122" customFormat="false" ht="15" hidden="false" customHeight="false" outlineLevel="0" collapsed="false">
      <c r="A122" s="3" t="s">
        <v>367</v>
      </c>
      <c r="B122" s="4"/>
      <c r="C122" s="4"/>
      <c r="D122" s="4"/>
      <c r="E122" s="4"/>
      <c r="F122" s="4"/>
      <c r="G122" s="4"/>
      <c r="H122" s="4"/>
      <c r="I122" s="4"/>
    </row>
    <row r="123" customFormat="false" ht="15" hidden="false" customHeight="false" outlineLevel="0" collapsed="false">
      <c r="A123" s="5" t="s">
        <v>353</v>
      </c>
      <c r="B123" s="14" t="s">
        <v>38</v>
      </c>
      <c r="C123" s="17" t="n">
        <f aca="false">C103</f>
        <v>328.2</v>
      </c>
    </row>
    <row r="124" customFormat="false" ht="15" hidden="false" customHeight="false" outlineLevel="0" collapsed="false">
      <c r="A124" s="5" t="s">
        <v>368</v>
      </c>
      <c r="B124" s="14" t="s">
        <v>38</v>
      </c>
      <c r="C124" s="17" t="n">
        <f aca="false">(H19-C19)*Inputs!$C$9</f>
        <v>122.3483388093</v>
      </c>
      <c r="I124" s="15" t="s">
        <v>369</v>
      </c>
    </row>
    <row r="125" customFormat="false" ht="15" hidden="false" customHeight="false" outlineLevel="0" collapsed="false">
      <c r="A125" s="5" t="s">
        <v>370</v>
      </c>
      <c r="B125" s="14" t="s">
        <v>38</v>
      </c>
      <c r="C125" s="17" t="n">
        <f aca="false">(H20+H21+H22+H23)*Inputs!$C$9</f>
        <v>0</v>
      </c>
    </row>
    <row r="126" customFormat="false" ht="15" hidden="false" customHeight="false" outlineLevel="0" collapsed="false">
      <c r="A126" s="5" t="s">
        <v>371</v>
      </c>
      <c r="B126" s="14" t="s">
        <v>38</v>
      </c>
      <c r="C126" s="17" t="n">
        <f aca="false">(C98-Inputs!$C$9)*C97</f>
        <v>-73.5942598677</v>
      </c>
    </row>
    <row r="127" customFormat="false" ht="15" hidden="false" customHeight="false" outlineLevel="0" collapsed="false">
      <c r="A127" s="5" t="s">
        <v>372</v>
      </c>
      <c r="B127" s="14" t="s">
        <v>38</v>
      </c>
      <c r="C127" s="17" t="n">
        <f aca="false">SUM(D39:H39)</f>
        <v>0</v>
      </c>
    </row>
    <row r="128" customFormat="false" ht="15" hidden="false" customHeight="false" outlineLevel="0" collapsed="false">
      <c r="A128" s="5" t="s">
        <v>373</v>
      </c>
      <c r="B128" s="14" t="s">
        <v>38</v>
      </c>
      <c r="C128" s="17" t="n">
        <f aca="false">SUM(D38:H38)</f>
        <v>0</v>
      </c>
    </row>
    <row r="129" customFormat="false" ht="15" hidden="false" customHeight="false" outlineLevel="0" collapsed="false">
      <c r="A129" s="5" t="s">
        <v>374</v>
      </c>
      <c r="B129" s="14" t="s">
        <v>38</v>
      </c>
      <c r="C129" s="17" t="n">
        <f aca="false">SUM(D37:H37)</f>
        <v>43.2800101640647</v>
      </c>
    </row>
    <row r="130" customFormat="false" ht="15" hidden="false" customHeight="false" outlineLevel="0" collapsed="false">
      <c r="A130" s="5" t="s">
        <v>375</v>
      </c>
      <c r="B130" s="14" t="s">
        <v>38</v>
      </c>
      <c r="C130" s="17" t="n">
        <f aca="false">-(Transaction!$C$6+Transaction!$C$7)</f>
        <v>-18.2</v>
      </c>
    </row>
    <row r="131" customFormat="false" ht="15" hidden="false" customHeight="false" outlineLevel="0" collapsed="false">
      <c r="A131" s="5" t="s">
        <v>350</v>
      </c>
      <c r="B131" s="14" t="s">
        <v>38</v>
      </c>
      <c r="C131" s="17" t="n">
        <f aca="false">C100</f>
        <v>-8.831311184124</v>
      </c>
    </row>
    <row r="132" customFormat="false" ht="15" hidden="false" customHeight="false" outlineLevel="0" collapsed="false">
      <c r="A132" s="5" t="s">
        <v>364</v>
      </c>
      <c r="B132" s="14" t="s">
        <v>38</v>
      </c>
      <c r="C132" s="17" t="n">
        <f aca="false">C105</f>
        <v>-6.50027779215406</v>
      </c>
    </row>
    <row r="133" customFormat="false" ht="15" hidden="false" customHeight="false" outlineLevel="0" collapsed="false">
      <c r="A133" s="1" t="s">
        <v>357</v>
      </c>
      <c r="B133" s="14" t="s">
        <v>38</v>
      </c>
      <c r="C133" s="33" t="n">
        <f aca="false">SUM(C123:C132)</f>
        <v>386.702500129387</v>
      </c>
    </row>
    <row r="134" customFormat="false" ht="15" hidden="false" customHeight="false" outlineLevel="0" collapsed="false">
      <c r="A134" s="34" t="s">
        <v>376</v>
      </c>
      <c r="B134" s="14" t="s">
        <v>38</v>
      </c>
      <c r="C134" s="39" t="n">
        <f aca="false">C133-C106</f>
        <v>0</v>
      </c>
    </row>
    <row r="136" customFormat="false" ht="15" hidden="false" customHeight="false" outlineLevel="0" collapsed="false">
      <c r="A136" s="3" t="s">
        <v>377</v>
      </c>
      <c r="B136" s="4"/>
      <c r="C136" s="4"/>
      <c r="D136" s="4"/>
      <c r="E136" s="4"/>
      <c r="F136" s="4"/>
      <c r="G136" s="4"/>
      <c r="H136" s="4"/>
      <c r="I136" s="4"/>
    </row>
    <row r="137" customFormat="false" ht="15" hidden="false" customHeight="false" outlineLevel="0" collapsed="false">
      <c r="A137" s="5" t="s">
        <v>378</v>
      </c>
      <c r="B137" s="14" t="s">
        <v>38</v>
      </c>
      <c r="C137" s="17" t="n">
        <f aca="false">Inputs!$C$21*MIN(1,MAX(0,(INDEX($D$19:$H$19,MATCH(Inputs!$C$22,$D$7:$H$7,0))-Inputs!$C$24)/(Inputs!$C$25-Inputs!$C$24)))</f>
        <v>0</v>
      </c>
      <c r="I137" s="15" t="s">
        <v>379</v>
      </c>
    </row>
    <row r="138" customFormat="false" ht="15" hidden="false" customHeight="false" outlineLevel="0" collapsed="false">
      <c r="A138" s="5" t="s">
        <v>380</v>
      </c>
      <c r="B138" s="14" t="s">
        <v>122</v>
      </c>
      <c r="C138" s="36" t="n">
        <f aca="false">IF(MIN(D78:H78)&gt;=Inputs!$C$17-0.001,1,0)</f>
        <v>1</v>
      </c>
    </row>
    <row r="139" customFormat="false" ht="15" hidden="false" customHeight="false" outlineLevel="0" collapsed="false">
      <c r="A139" s="5" t="s">
        <v>381</v>
      </c>
      <c r="B139" s="14" t="s">
        <v>122</v>
      </c>
      <c r="C139" s="36" t="n">
        <f aca="false">IF(SUM(D65:H65)&gt;=-SUM(D39:H39)-0.001,1,0)</f>
        <v>1</v>
      </c>
    </row>
    <row r="140" customFormat="false" ht="15" hidden="false" customHeight="false" outlineLevel="0" collapsed="false">
      <c r="A140" s="5" t="s">
        <v>382</v>
      </c>
      <c r="B140" s="14" t="s">
        <v>122</v>
      </c>
      <c r="C140" s="36" t="n">
        <f aca="false">IF(MAX(D70:H70)&lt;=Inputs!$C$32+0.001,1,0)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11" min="5" style="0" width="13"/>
  </cols>
  <sheetData>
    <row r="1" customFormat="false" ht="15" hidden="false" customHeight="false" outlineLevel="0" collapsed="false">
      <c r="A1" s="1" t="s">
        <v>385</v>
      </c>
    </row>
    <row r="2" customFormat="false" ht="15" hidden="false" customHeight="false" outlineLevel="0" collapsed="false">
      <c r="A2" s="2" t="s">
        <v>386</v>
      </c>
    </row>
    <row r="4" customFormat="false" ht="15" hidden="false" customHeight="false" outlineLevel="0" collapsed="false">
      <c r="A4" s="3" t="s">
        <v>387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false" outlineLevel="0" collapsed="false">
      <c r="A5" s="6" t="s">
        <v>22</v>
      </c>
      <c r="B5" s="6" t="s">
        <v>95</v>
      </c>
      <c r="C5" s="8" t="s">
        <v>23</v>
      </c>
      <c r="D5" s="8" t="s">
        <v>24</v>
      </c>
      <c r="E5" s="8" t="s">
        <v>25</v>
      </c>
    </row>
    <row r="6" customFormat="false" ht="15" hidden="false" customHeight="false" outlineLevel="0" collapsed="false">
      <c r="A6" s="5" t="s">
        <v>388</v>
      </c>
      <c r="B6" s="14" t="s">
        <v>38</v>
      </c>
      <c r="C6" s="9" t="n">
        <f aca="false">LBO_Base!H14</f>
        <v>279.45957613</v>
      </c>
      <c r="D6" s="9" t="n">
        <f aca="false">LBO_Mgmt!H14</f>
        <v>310.7880348925</v>
      </c>
      <c r="E6" s="9" t="n">
        <f aca="false">LBO_Down!H14</f>
        <v>185.14279212</v>
      </c>
    </row>
    <row r="7" customFormat="false" ht="15" hidden="false" customHeight="false" outlineLevel="0" collapsed="false">
      <c r="A7" s="5" t="s">
        <v>389</v>
      </c>
      <c r="B7" s="14" t="s">
        <v>38</v>
      </c>
      <c r="C7" s="9" t="n">
        <f aca="false">LBO_Base!H24</f>
        <v>82.7598379242</v>
      </c>
      <c r="D7" s="9" t="n">
        <f aca="false">LBO_Mgmt!H24</f>
        <v>96.621391409925</v>
      </c>
      <c r="E7" s="9" t="n">
        <f aca="false">LBO_Down!H24</f>
        <v>49.0628399118</v>
      </c>
    </row>
    <row r="8" customFormat="false" ht="15" hidden="false" customHeight="false" outlineLevel="0" collapsed="false">
      <c r="A8" s="5" t="s">
        <v>390</v>
      </c>
      <c r="B8" s="14" t="s">
        <v>54</v>
      </c>
      <c r="C8" s="27" t="n">
        <f aca="false">LBO_Base!H25</f>
        <v>0.296142429865067</v>
      </c>
      <c r="D8" s="27" t="n">
        <f aca="false">LBO_Mgmt!H25</f>
        <v>0.310891606375213</v>
      </c>
      <c r="E8" s="27" t="n">
        <f aca="false">LBO_Down!H25</f>
        <v>0.265</v>
      </c>
    </row>
    <row r="9" customFormat="false" ht="15" hidden="false" customHeight="false" outlineLevel="0" collapsed="false">
      <c r="A9" s="5" t="s">
        <v>391</v>
      </c>
      <c r="B9" s="14" t="s">
        <v>54</v>
      </c>
      <c r="C9" s="28" t="n">
        <f aca="false">(LBO_Base!H24/LBO_Base!C24)^(1/5)-1</f>
        <v>0.156516752470572</v>
      </c>
      <c r="D9" s="28" t="n">
        <f aca="false">(LBO_Mgmt!H24/LBO_Mgmt!C24)^(1/5)-1</f>
        <v>0.192896211171368</v>
      </c>
      <c r="E9" s="28" t="n">
        <f aca="false">(LBO_Down!H24/LBO_Down!C24)^(1/5)-1</f>
        <v>0.0416901037932458</v>
      </c>
    </row>
    <row r="10" customFormat="false" ht="15" hidden="false" customHeight="false" outlineLevel="0" collapsed="false">
      <c r="A10" s="5" t="s">
        <v>348</v>
      </c>
      <c r="B10" s="14" t="s">
        <v>44</v>
      </c>
      <c r="C10" s="10" t="n">
        <f aca="false">LBO_Base!C98</f>
        <v>13.5</v>
      </c>
      <c r="D10" s="10" t="n">
        <f aca="false">LBO_Mgmt!C98</f>
        <v>13.5</v>
      </c>
      <c r="E10" s="10" t="n">
        <f aca="false">LBO_Down!C98</f>
        <v>12</v>
      </c>
    </row>
    <row r="11" customFormat="false" ht="15" hidden="false" customHeight="false" outlineLevel="0" collapsed="false">
      <c r="A11" s="5" t="s">
        <v>349</v>
      </c>
      <c r="B11" s="14" t="s">
        <v>38</v>
      </c>
      <c r="C11" s="9" t="n">
        <f aca="false">LBO_Base!C99</f>
        <v>1117.2578119767</v>
      </c>
      <c r="D11" s="9" t="n">
        <f aca="false">LBO_Mgmt!C99</f>
        <v>1304.38878403399</v>
      </c>
      <c r="E11" s="9" t="n">
        <f aca="false">LBO_Down!C99</f>
        <v>588.7540789416</v>
      </c>
    </row>
    <row r="12" customFormat="false" ht="15" hidden="false" customHeight="false" outlineLevel="0" collapsed="false">
      <c r="A12" s="5" t="s">
        <v>351</v>
      </c>
      <c r="B12" s="14" t="s">
        <v>38</v>
      </c>
      <c r="C12" s="17" t="n">
        <f aca="false">-LBO_Base!C101</f>
        <v>230.11090156206</v>
      </c>
      <c r="D12" s="17" t="n">
        <f aca="false">-LBO_Mgmt!C101</f>
        <v>253.04699240844</v>
      </c>
      <c r="E12" s="17" t="n">
        <f aca="false">-LBO_Down!C101</f>
        <v>186.719989835935</v>
      </c>
    </row>
    <row r="13" customFormat="false" ht="15" hidden="false" customHeight="false" outlineLevel="0" collapsed="false">
      <c r="A13" s="5" t="s">
        <v>352</v>
      </c>
      <c r="B13" s="14" t="s">
        <v>38</v>
      </c>
      <c r="C13" s="9" t="n">
        <f aca="false">LBO_Base!C102</f>
        <v>870.38804323499</v>
      </c>
      <c r="D13" s="9" t="n">
        <f aca="false">LBO_Mgmt!C102</f>
        <v>1031.77595986504</v>
      </c>
      <c r="E13" s="9" t="n">
        <f aca="false">LBO_Down!C102</f>
        <v>393.202777921541</v>
      </c>
    </row>
    <row r="14" customFormat="false" ht="15" hidden="false" customHeight="false" outlineLevel="0" collapsed="false">
      <c r="A14" s="5" t="s">
        <v>356</v>
      </c>
      <c r="B14" s="14" t="s">
        <v>38</v>
      </c>
      <c r="C14" s="17" t="n">
        <f aca="false">-LBO_Base!C105</f>
        <v>54.2188043234989</v>
      </c>
      <c r="D14" s="17" t="n">
        <f aca="false">-LBO_Mgmt!C105</f>
        <v>70.3575959865038</v>
      </c>
      <c r="E14" s="17" t="n">
        <f aca="false">-LBO_Down!C105</f>
        <v>6.50027779215406</v>
      </c>
    </row>
    <row r="15" customFormat="false" ht="15" hidden="false" customHeight="false" outlineLevel="0" collapsed="false">
      <c r="A15" s="5" t="s">
        <v>357</v>
      </c>
      <c r="B15" s="14" t="s">
        <v>38</v>
      </c>
      <c r="C15" s="9" t="n">
        <f aca="false">LBO_Base!C106</f>
        <v>816.169238911491</v>
      </c>
      <c r="D15" s="9" t="n">
        <f aca="false">LBO_Mgmt!C106</f>
        <v>961.418363878534</v>
      </c>
      <c r="E15" s="9" t="n">
        <f aca="false">LBO_Down!C106</f>
        <v>386.702500129387</v>
      </c>
    </row>
    <row r="16" customFormat="false" ht="15" hidden="false" customHeight="false" outlineLevel="0" collapsed="false">
      <c r="A16" s="5" t="s">
        <v>353</v>
      </c>
      <c r="B16" s="14" t="s">
        <v>38</v>
      </c>
      <c r="C16" s="9" t="n">
        <f aca="false">LBO_Base!C103</f>
        <v>328.2</v>
      </c>
      <c r="D16" s="9" t="n">
        <f aca="false">LBO_Mgmt!C103</f>
        <v>328.2</v>
      </c>
      <c r="E16" s="9" t="n">
        <f aca="false">LBO_Down!C103</f>
        <v>328.2</v>
      </c>
    </row>
    <row r="17" customFormat="false" ht="15" hidden="false" customHeight="false" outlineLevel="0" collapsed="false">
      <c r="A17" s="1" t="s">
        <v>32</v>
      </c>
      <c r="B17" s="14" t="s">
        <v>44</v>
      </c>
      <c r="C17" s="12" t="n">
        <f aca="false">LBO_Base!C107</f>
        <v>2.48680450612886</v>
      </c>
      <c r="D17" s="12" t="n">
        <f aca="false">LBO_Mgmt!C107</f>
        <v>2.92936734880723</v>
      </c>
      <c r="E17" s="12" t="n">
        <f aca="false">LBO_Down!C107</f>
        <v>1.17825259027845</v>
      </c>
    </row>
    <row r="18" customFormat="false" ht="15" hidden="false" customHeight="false" outlineLevel="0" collapsed="false">
      <c r="A18" s="1" t="s">
        <v>31</v>
      </c>
      <c r="B18" s="14" t="s">
        <v>54</v>
      </c>
      <c r="C18" s="11" t="n">
        <f aca="false">LBO_Base!C109</f>
        <v>0.199853794058016</v>
      </c>
      <c r="D18" s="11" t="n">
        <f aca="false">LBO_Mgmt!C109</f>
        <v>0.239808950490019</v>
      </c>
      <c r="E18" s="11" t="n">
        <f aca="false">LBO_Down!C109</f>
        <v>0.0333505635076053</v>
      </c>
    </row>
    <row r="19" customFormat="false" ht="15" hidden="false" customHeight="false" outlineLevel="0" collapsed="false">
      <c r="A19" s="5" t="s">
        <v>392</v>
      </c>
      <c r="B19" s="14" t="s">
        <v>38</v>
      </c>
      <c r="C19" s="17" t="n">
        <f aca="false">-LBO_Base!C128</f>
        <v>-0</v>
      </c>
      <c r="D19" s="17" t="n">
        <f aca="false">-LBO_Mgmt!C128</f>
        <v>40</v>
      </c>
      <c r="E19" s="17" t="n">
        <f aca="false">-LBO_Down!C128</f>
        <v>-0</v>
      </c>
    </row>
    <row r="20" customFormat="false" ht="15" hidden="false" customHeight="false" outlineLevel="0" collapsed="false">
      <c r="A20" s="5" t="s">
        <v>393</v>
      </c>
      <c r="B20" s="14" t="s">
        <v>38</v>
      </c>
      <c r="C20" s="17" t="n">
        <f aca="false">-LBO_Base!C127</f>
        <v>87.8384</v>
      </c>
      <c r="D20" s="17" t="n">
        <f aca="false">-LBO_Mgmt!C127</f>
        <v>87.8384</v>
      </c>
      <c r="E20" s="17" t="n">
        <f aca="false">-LBO_Down!C127</f>
        <v>-0</v>
      </c>
    </row>
    <row r="21" customFormat="false" ht="15" hidden="false" customHeight="false" outlineLevel="0" collapsed="false">
      <c r="A21" s="5" t="s">
        <v>394</v>
      </c>
      <c r="B21" s="14" t="s">
        <v>44</v>
      </c>
      <c r="C21" s="18" t="n">
        <f aca="false">MAX(LBO_Base!D91:H91)</f>
        <v>5.09752290345314</v>
      </c>
      <c r="D21" s="18" t="n">
        <f aca="false">MAX(LBO_Mgmt!D91:H91)</f>
        <v>4.88767201213566</v>
      </c>
      <c r="E21" s="18" t="n">
        <f aca="false">MAX(LBO_Down!D91:H91)</f>
        <v>5.49451499758103</v>
      </c>
    </row>
    <row r="22" customFormat="false" ht="15" hidden="false" customHeight="false" outlineLevel="0" collapsed="false">
      <c r="A22" s="5" t="s">
        <v>395</v>
      </c>
      <c r="B22" s="14" t="s">
        <v>44</v>
      </c>
      <c r="C22" s="18" t="n">
        <f aca="false">MIN(LBO_Base!D92:H92)</f>
        <v>2.42332126511374</v>
      </c>
      <c r="D22" s="18" t="n">
        <f aca="false">MIN(LBO_Mgmt!D92:H92)</f>
        <v>2.52175695061138</v>
      </c>
      <c r="E22" s="18" t="n">
        <f aca="false">MIN(LBO_Down!D92:H92)</f>
        <v>2.25917070838172</v>
      </c>
    </row>
    <row r="23" customFormat="false" ht="15" hidden="false" customHeight="false" outlineLevel="0" collapsed="false">
      <c r="A23" s="5" t="s">
        <v>396</v>
      </c>
      <c r="B23" s="14" t="s">
        <v>54</v>
      </c>
      <c r="C23" s="28" t="n">
        <f aca="false">MIN(LBO_Base!D93:H93)</f>
        <v>0.382118435945075</v>
      </c>
      <c r="D23" s="28" t="n">
        <f aca="false">MIN(LBO_Mgmt!D93:H93)</f>
        <v>0.40755490761992</v>
      </c>
      <c r="E23" s="28" t="n">
        <f aca="false">MIN(LBO_Down!D93:H93)</f>
        <v>0.33399818211139</v>
      </c>
    </row>
    <row r="24" customFormat="false" ht="15" hidden="false" customHeight="false" outlineLevel="0" collapsed="false">
      <c r="A24" s="5" t="s">
        <v>397</v>
      </c>
      <c r="B24" s="14" t="s">
        <v>38</v>
      </c>
      <c r="C24" s="9" t="n">
        <f aca="false">Transaction!$C$15</f>
        <v>282.2</v>
      </c>
      <c r="D24" s="9" t="n">
        <f aca="false">Transaction!$C$15</f>
        <v>282.2</v>
      </c>
      <c r="E24" s="9" t="n">
        <f aca="false">Transaction!$C$15</f>
        <v>282.2</v>
      </c>
    </row>
    <row r="25" customFormat="false" ht="15" hidden="false" customHeight="false" outlineLevel="0" collapsed="false">
      <c r="A25" s="5" t="s">
        <v>398</v>
      </c>
      <c r="B25" s="14" t="s">
        <v>38</v>
      </c>
      <c r="C25" s="17" t="n">
        <f aca="false">C15*Transaction!$D$21</f>
        <v>701.776231629563</v>
      </c>
      <c r="D25" s="17" t="n">
        <f aca="false">D15*Transaction!$D$21</f>
        <v>826.667465833402</v>
      </c>
      <c r="E25" s="17" t="n">
        <f aca="false">E15*Transaction!$D$21</f>
        <v>332.502880976578</v>
      </c>
    </row>
    <row r="26" customFormat="false" ht="15" hidden="false" customHeight="false" outlineLevel="0" collapsed="false">
      <c r="A26" s="5" t="s">
        <v>399</v>
      </c>
      <c r="B26" s="14" t="s">
        <v>38</v>
      </c>
      <c r="C26" s="17" t="n">
        <f aca="false">C25-C24</f>
        <v>419.576231629563</v>
      </c>
      <c r="D26" s="17" t="n">
        <f aca="false">D25-D24</f>
        <v>544.467465833402</v>
      </c>
      <c r="E26" s="17" t="n">
        <f aca="false">E25-E24</f>
        <v>50.3028809765779</v>
      </c>
    </row>
    <row r="28" customFormat="false" ht="15" hidden="false" customHeight="false" outlineLevel="0" collapsed="false">
      <c r="A28" s="3" t="s">
        <v>400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customFormat="false" ht="15" hidden="false" customHeight="false" outlineLevel="0" collapsed="false">
      <c r="A29" s="6" t="s">
        <v>401</v>
      </c>
      <c r="B29" s="6" t="s">
        <v>95</v>
      </c>
      <c r="C29" s="8" t="s">
        <v>38</v>
      </c>
      <c r="D29" s="8" t="s">
        <v>402</v>
      </c>
    </row>
    <row r="30" customFormat="false" ht="15" hidden="false" customHeight="false" outlineLevel="0" collapsed="false">
      <c r="A30" s="1" t="s">
        <v>353</v>
      </c>
      <c r="B30" s="14" t="s">
        <v>38</v>
      </c>
      <c r="C30" s="46" t="n">
        <f aca="false">LBO_Base!C123</f>
        <v>328.2</v>
      </c>
    </row>
    <row r="31" customFormat="false" ht="15" hidden="false" customHeight="false" outlineLevel="0" collapsed="false">
      <c r="A31" s="5" t="s">
        <v>368</v>
      </c>
      <c r="B31" s="14" t="s">
        <v>38</v>
      </c>
      <c r="C31" s="9" t="n">
        <f aca="false">LBO_Base!C124</f>
        <v>380.6428733271</v>
      </c>
      <c r="D31" s="28" t="n">
        <f aca="false">C31/($C$40-$C$30)</f>
        <v>0.780055058749599</v>
      </c>
    </row>
    <row r="32" customFormat="false" ht="15" hidden="false" customHeight="false" outlineLevel="0" collapsed="false">
      <c r="A32" s="5" t="s">
        <v>370</v>
      </c>
      <c r="B32" s="14" t="s">
        <v>38</v>
      </c>
      <c r="C32" s="9" t="n">
        <f aca="false">LBO_Base!C125</f>
        <v>196.6149386496</v>
      </c>
      <c r="D32" s="28" t="n">
        <f aca="false">C32/($C$40-$C$30)</f>
        <v>0.402924862821656</v>
      </c>
    </row>
    <row r="33" customFormat="false" ht="15" hidden="false" customHeight="false" outlineLevel="0" collapsed="false">
      <c r="A33" s="5" t="s">
        <v>403</v>
      </c>
      <c r="B33" s="14" t="s">
        <v>38</v>
      </c>
      <c r="C33" s="9" t="n">
        <f aca="false">LBO_Base!C126</f>
        <v>0</v>
      </c>
      <c r="D33" s="28" t="n">
        <f aca="false">C33/($C$40-$C$30)</f>
        <v>0</v>
      </c>
    </row>
    <row r="34" customFormat="false" ht="15" hidden="false" customHeight="false" outlineLevel="0" collapsed="false">
      <c r="A34" s="5" t="s">
        <v>372</v>
      </c>
      <c r="B34" s="14" t="s">
        <v>38</v>
      </c>
      <c r="C34" s="9" t="n">
        <f aca="false">LBO_Base!C127</f>
        <v>-87.8384</v>
      </c>
      <c r="D34" s="28" t="n">
        <f aca="false">C34/($C$40-$C$30)</f>
        <v>-0.180008068123188</v>
      </c>
    </row>
    <row r="35" customFormat="false" ht="15" hidden="false" customHeight="false" outlineLevel="0" collapsed="false">
      <c r="A35" s="5" t="s">
        <v>373</v>
      </c>
      <c r="B35" s="14" t="s">
        <v>38</v>
      </c>
      <c r="C35" s="9" t="n">
        <f aca="false">LBO_Base!C128</f>
        <v>0</v>
      </c>
      <c r="D35" s="28" t="n">
        <f aca="false">C35/($C$40-$C$30)</f>
        <v>0</v>
      </c>
    </row>
    <row r="36" customFormat="false" ht="15" hidden="false" customHeight="false" outlineLevel="0" collapsed="false">
      <c r="A36" s="5" t="s">
        <v>374</v>
      </c>
      <c r="B36" s="14" t="s">
        <v>38</v>
      </c>
      <c r="C36" s="9" t="n">
        <f aca="false">LBO_Base!C129</f>
        <v>87.72749843794</v>
      </c>
      <c r="D36" s="28" t="n">
        <f aca="false">C36/($C$40-$C$30)</f>
        <v>0.179780796497814</v>
      </c>
    </row>
    <row r="37" customFormat="false" ht="15" hidden="false" customHeight="false" outlineLevel="0" collapsed="false">
      <c r="A37" s="5" t="s">
        <v>375</v>
      </c>
      <c r="B37" s="14" t="s">
        <v>38</v>
      </c>
      <c r="C37" s="9" t="n">
        <f aca="false">LBO_Base!C130</f>
        <v>-18.2</v>
      </c>
      <c r="D37" s="28" t="n">
        <f aca="false">C37/($C$40-$C$30)</f>
        <v>-0.0372974330115534</v>
      </c>
    </row>
    <row r="38" customFormat="false" ht="15" hidden="false" customHeight="false" outlineLevel="0" collapsed="false">
      <c r="A38" s="5" t="s">
        <v>350</v>
      </c>
      <c r="B38" s="14" t="s">
        <v>38</v>
      </c>
      <c r="C38" s="9" t="n">
        <f aca="false">LBO_Base!C131</f>
        <v>-16.7588671796505</v>
      </c>
      <c r="D38" s="28" t="n">
        <f aca="false">C38/($C$40-$C$30)</f>
        <v>-0.0343441058232162</v>
      </c>
    </row>
    <row r="39" customFormat="false" ht="15" hidden="false" customHeight="false" outlineLevel="0" collapsed="false">
      <c r="A39" s="5" t="s">
        <v>364</v>
      </c>
      <c r="B39" s="14" t="s">
        <v>38</v>
      </c>
      <c r="C39" s="9" t="n">
        <f aca="false">LBO_Base!C132</f>
        <v>-54.2188043234989</v>
      </c>
      <c r="D39" s="28" t="n">
        <f aca="false">C39/($C$40-$C$30)</f>
        <v>-0.111111111111111</v>
      </c>
    </row>
    <row r="40" customFormat="false" ht="15" hidden="false" customHeight="false" outlineLevel="0" collapsed="false">
      <c r="A40" s="1" t="s">
        <v>357</v>
      </c>
      <c r="B40" s="14" t="s">
        <v>38</v>
      </c>
      <c r="C40" s="46" t="n">
        <f aca="false">LBO_Base!C133</f>
        <v>816.169238911491</v>
      </c>
    </row>
    <row r="42" customFormat="false" ht="15" hidden="false" customHeight="false" outlineLevel="0" collapsed="false">
      <c r="A42" s="3" t="s">
        <v>404</v>
      </c>
      <c r="B42" s="4"/>
      <c r="C42" s="4"/>
      <c r="D42" s="4"/>
      <c r="E42" s="4"/>
      <c r="F42" s="4"/>
      <c r="G42" s="4"/>
      <c r="H42" s="4"/>
      <c r="I42" s="4"/>
      <c r="J42" s="4"/>
      <c r="K42" s="4"/>
    </row>
    <row r="43" customFormat="false" ht="15" hidden="false" customHeight="false" outlineLevel="0" collapsed="false">
      <c r="A43" s="6" t="s">
        <v>405</v>
      </c>
      <c r="B43" s="8" t="s">
        <v>406</v>
      </c>
      <c r="C43" s="8" t="s">
        <v>407</v>
      </c>
      <c r="D43" s="8" t="s">
        <v>408</v>
      </c>
      <c r="E43" s="8" t="s">
        <v>409</v>
      </c>
      <c r="F43" s="8" t="s">
        <v>410</v>
      </c>
      <c r="G43" s="8" t="s">
        <v>411</v>
      </c>
      <c r="H43" s="8" t="s">
        <v>412</v>
      </c>
      <c r="I43" s="8" t="s">
        <v>413</v>
      </c>
      <c r="J43" s="8" t="s">
        <v>414</v>
      </c>
      <c r="K43" s="8" t="s">
        <v>415</v>
      </c>
    </row>
    <row r="44" customFormat="false" ht="15" hidden="false" customHeight="false" outlineLevel="0" collapsed="false">
      <c r="A44" s="2"/>
      <c r="B44" s="19" t="n">
        <v>500</v>
      </c>
      <c r="C44" s="18" t="n">
        <f aca="false">B44/Inputs!$C$8</f>
        <v>12.5</v>
      </c>
      <c r="D44" s="18" t="n">
        <f aca="false">B44/Inputs!$C$7</f>
        <v>11.4942528735632</v>
      </c>
      <c r="E44" s="17" t="n">
        <f aca="false">B44*(1+Inputs!$C$16)+Transaction!$C$7+Inputs!$C$17-Inputs!$C$29</f>
        <v>287.4</v>
      </c>
      <c r="F44" s="28" t="n">
        <f aca="false">G44^(1/LBO_Base!$H$6)-1</f>
        <v>0.230901776176421</v>
      </c>
      <c r="G44" s="41" t="n">
        <f aca="false">(LBO_Base!$C$102-Inputs!$C$20*MAX(0,LBO_Base!$C$102-E44))/E44</f>
        <v>2.82564105397178</v>
      </c>
      <c r="H44" s="28" t="n">
        <f aca="false">I44^(1/LBO_Base!$H$6)-1</f>
        <v>0.272083852494777</v>
      </c>
      <c r="I44" s="41" t="n">
        <f aca="false">(LBO_Mgmt!$C$102-Inputs!$C$20*MAX(0,LBO_Mgmt!$C$102-E44))/E44</f>
        <v>3.33103118955649</v>
      </c>
      <c r="J44" s="28" t="n">
        <f aca="false">K44^(1/LBO_Base!$H$6)-1</f>
        <v>0.0589043886950356</v>
      </c>
      <c r="K44" s="41" t="n">
        <f aca="false">(LBO_Down!$C$102-Inputs!$C$20*MAX(0,LBO_Down!$C$102-E44))/E44</f>
        <v>1.33132393921151</v>
      </c>
    </row>
    <row r="45" customFormat="false" ht="15" hidden="false" customHeight="false" outlineLevel="0" collapsed="false">
      <c r="A45" s="2"/>
      <c r="B45" s="19" t="n">
        <v>520</v>
      </c>
      <c r="C45" s="18" t="n">
        <f aca="false">B45/Inputs!$C$8</f>
        <v>13</v>
      </c>
      <c r="D45" s="18" t="n">
        <f aca="false">B45/Inputs!$C$7</f>
        <v>11.9540229885057</v>
      </c>
      <c r="E45" s="17" t="n">
        <f aca="false">B45*(1+Inputs!$C$16)+Transaction!$C$7+Inputs!$C$17-Inputs!$C$29</f>
        <v>307.8</v>
      </c>
      <c r="F45" s="28" t="n">
        <f aca="false">G45^(1/LBO_Base!$H$6)-1</f>
        <v>0.214744516785701</v>
      </c>
      <c r="G45" s="41" t="n">
        <f aca="false">(LBO_Base!$C$102-Inputs!$C$20*MAX(0,LBO_Base!$C$102-E45))/E45</f>
        <v>2.64499427846488</v>
      </c>
      <c r="H45" s="28" t="n">
        <f aca="false">I45^(1/LBO_Base!$H$6)-1</f>
        <v>0.255290554273957</v>
      </c>
      <c r="I45" s="41" t="n">
        <f aca="false">(LBO_Mgmt!$C$102-Inputs!$C$20*MAX(0,LBO_Mgmt!$C$102-E45))/E45</f>
        <v>3.1168887715352</v>
      </c>
      <c r="J45" s="28" t="n">
        <f aca="false">K45^(1/LBO_Base!$H$6)-1</f>
        <v>0.0455919883809219</v>
      </c>
      <c r="K45" s="41" t="n">
        <f aca="false">(LBO_Down!$C$102-Inputs!$C$20*MAX(0,LBO_Down!$C$102-E45))/E45</f>
        <v>1.24971572491679</v>
      </c>
    </row>
    <row r="46" customFormat="false" ht="15" hidden="false" customHeight="false" outlineLevel="0" collapsed="false">
      <c r="A46" s="2" t="s">
        <v>416</v>
      </c>
      <c r="B46" s="19" t="n">
        <v>540</v>
      </c>
      <c r="C46" s="18" t="n">
        <f aca="false">B46/Inputs!$C$8</f>
        <v>13.5</v>
      </c>
      <c r="D46" s="18" t="n">
        <f aca="false">B46/Inputs!$C$7</f>
        <v>12.4137931034483</v>
      </c>
      <c r="E46" s="17" t="n">
        <f aca="false">B46*(1+Inputs!$C$16)+Transaction!$C$7+Inputs!$C$17-Inputs!$C$29</f>
        <v>328.2</v>
      </c>
      <c r="F46" s="28" t="n">
        <f aca="false">G46^(1/LBO_Base!$H$6)-1</f>
        <v>0.199853794058016</v>
      </c>
      <c r="G46" s="41" t="n">
        <f aca="false">(LBO_Base!$C$102-Inputs!$C$20*MAX(0,LBO_Base!$C$102-E46))/E46</f>
        <v>2.48680450612886</v>
      </c>
      <c r="H46" s="28" t="n">
        <f aca="false">I46^(1/LBO_Base!$H$6)-1</f>
        <v>0.239808950490019</v>
      </c>
      <c r="I46" s="41" t="n">
        <f aca="false">(LBO_Mgmt!$C$102-Inputs!$C$20*MAX(0,LBO_Mgmt!$C$102-E46))/E46</f>
        <v>2.92936734880724</v>
      </c>
      <c r="J46" s="28" t="n">
        <f aca="false">K46^(1/LBO_Base!$H$6)-1</f>
        <v>0.0333505635076055</v>
      </c>
      <c r="K46" s="41" t="n">
        <f aca="false">(LBO_Down!$C$102-Inputs!$C$20*MAX(0,LBO_Down!$C$102-E46))/E46</f>
        <v>1.17825259027845</v>
      </c>
    </row>
    <row r="47" customFormat="false" ht="15" hidden="false" customHeight="false" outlineLevel="0" collapsed="false">
      <c r="A47" s="2" t="s">
        <v>417</v>
      </c>
      <c r="B47" s="19" t="n">
        <v>560</v>
      </c>
      <c r="C47" s="18" t="n">
        <f aca="false">B47/Inputs!$C$8</f>
        <v>14</v>
      </c>
      <c r="D47" s="18" t="n">
        <f aca="false">B47/Inputs!$C$7</f>
        <v>12.8735632183908</v>
      </c>
      <c r="E47" s="17" t="n">
        <f aca="false">B47*(1+Inputs!$C$16)+Transaction!$C$7+Inputs!$C$17-Inputs!$C$29</f>
        <v>348.6</v>
      </c>
      <c r="F47" s="28" t="n">
        <f aca="false">G47^(1/LBO_Base!$H$6)-1</f>
        <v>0.186062020222949</v>
      </c>
      <c r="G47" s="41" t="n">
        <f aca="false">(LBO_Base!$C$102-Inputs!$C$20*MAX(0,LBO_Base!$C$102-E47))/E47</f>
        <v>2.34712919940187</v>
      </c>
      <c r="H47" s="28" t="n">
        <f aca="false">I47^(1/LBO_Base!$H$6)-1</f>
        <v>0.225465568956683</v>
      </c>
      <c r="I47" s="41" t="n">
        <f aca="false">(LBO_Mgmt!$C$102-Inputs!$C$20*MAX(0,LBO_Mgmt!$C$102-E47))/E47</f>
        <v>2.76379335593383</v>
      </c>
      <c r="J47" s="28" t="n">
        <f aca="false">K47^(1/LBO_Base!$H$6)-1</f>
        <v>0.0220377286526106</v>
      </c>
      <c r="K47" s="41" t="n">
        <f aca="false">(LBO_Down!$C$102-Inputs!$C$20*MAX(0,LBO_Down!$C$102-E47))/E47</f>
        <v>1.11515347139813</v>
      </c>
    </row>
    <row r="48" customFormat="false" ht="15" hidden="false" customHeight="false" outlineLevel="0" collapsed="false">
      <c r="A48" s="2" t="s">
        <v>418</v>
      </c>
      <c r="B48" s="19" t="n">
        <v>580</v>
      </c>
      <c r="C48" s="18" t="n">
        <f aca="false">B48/Inputs!$C$8</f>
        <v>14.5</v>
      </c>
      <c r="D48" s="18" t="n">
        <f aca="false">B48/Inputs!$C$7</f>
        <v>13.3333333333333</v>
      </c>
      <c r="E48" s="17" t="n">
        <f aca="false">B48*(1+Inputs!$C$16)+Transaction!$C$7+Inputs!$C$17-Inputs!$C$29</f>
        <v>369</v>
      </c>
      <c r="F48" s="28" t="n">
        <f aca="false">G48^(1/LBO_Base!$H$6)-1</f>
        <v>0.173231984054963</v>
      </c>
      <c r="G48" s="41" t="n">
        <f aca="false">(LBO_Base!$C$102-Inputs!$C$20*MAX(0,LBO_Base!$C$102-E48))/E48</f>
        <v>2.2228976664268</v>
      </c>
      <c r="H48" s="28" t="n">
        <f aca="false">I48^(1/LBO_Base!$H$6)-1</f>
        <v>0.212118375762031</v>
      </c>
      <c r="I48" s="41" t="n">
        <f aca="false">(LBO_Mgmt!$C$102-Inputs!$C$20*MAX(0,LBO_Mgmt!$C$102-E48))/E48</f>
        <v>2.61652673137814</v>
      </c>
      <c r="J48" s="28" t="n">
        <f aca="false">K48^(1/LBO_Base!$H$6)-1</f>
        <v>0.0115369421495115</v>
      </c>
      <c r="K48" s="41" t="n">
        <f aca="false">(LBO_Down!$C$102-Inputs!$C$20*MAX(0,LBO_Down!$C$102-E48))/E48</f>
        <v>1.05903116566229</v>
      </c>
    </row>
    <row r="49" customFormat="false" ht="15" hidden="false" customHeight="false" outlineLevel="0" collapsed="false">
      <c r="A49" s="2" t="s">
        <v>419</v>
      </c>
      <c r="B49" s="19" t="n">
        <v>600</v>
      </c>
      <c r="C49" s="18" t="n">
        <f aca="false">B49/Inputs!$C$8</f>
        <v>15</v>
      </c>
      <c r="D49" s="18" t="n">
        <f aca="false">B49/Inputs!$C$7</f>
        <v>13.7931034482759</v>
      </c>
      <c r="E49" s="17" t="n">
        <f aca="false">B49*(1+Inputs!$C$16)+Transaction!$C$7+Inputs!$C$17-Inputs!$C$29</f>
        <v>389.4</v>
      </c>
      <c r="F49" s="28" t="n">
        <f aca="false">G49^(1/LBO_Base!$H$6)-1</f>
        <v>0.161250013157226</v>
      </c>
      <c r="G49" s="41" t="n">
        <f aca="false">(LBO_Base!$C$102-Inputs!$C$20*MAX(0,LBO_Base!$C$102-E49))/E49</f>
        <v>2.11168268852463</v>
      </c>
      <c r="H49" s="28" t="n">
        <f aca="false">I49^(1/LBO_Base!$H$6)-1</f>
        <v>0.199649699090835</v>
      </c>
      <c r="I49" s="41" t="n">
        <f aca="false">(LBO_Mgmt!$C$102-Inputs!$C$20*MAX(0,LBO_Mgmt!$C$102-E49))/E49</f>
        <v>2.48469019999624</v>
      </c>
      <c r="J49" s="28" t="n">
        <f aca="false">K49^(1/LBO_Base!$H$6)-1</f>
        <v>0.00175168506904799</v>
      </c>
      <c r="K49" s="41" t="n">
        <f aca="false">(LBO_Down!$C$102-Inputs!$C$20*MAX(0,LBO_Down!$C$102-E49))/E49</f>
        <v>1.00878916314686</v>
      </c>
    </row>
    <row r="50" customFormat="false" ht="15" hidden="false" customHeight="false" outlineLevel="0" collapsed="false">
      <c r="A50" s="2"/>
      <c r="B50" s="19" t="n">
        <v>620</v>
      </c>
      <c r="C50" s="18" t="n">
        <f aca="false">B50/Inputs!$C$8</f>
        <v>15.5</v>
      </c>
      <c r="D50" s="18" t="n">
        <f aca="false">B50/Inputs!$C$7</f>
        <v>14.2528735632184</v>
      </c>
      <c r="E50" s="17" t="n">
        <f aca="false">B50*(1+Inputs!$C$16)+Transaction!$C$7+Inputs!$C$17-Inputs!$C$29</f>
        <v>409.8</v>
      </c>
      <c r="F50" s="28" t="n">
        <f aca="false">G50^(1/LBO_Base!$H$6)-1</f>
        <v>0.15002094495929</v>
      </c>
      <c r="G50" s="41" t="n">
        <f aca="false">(LBO_Base!$C$102-Inputs!$C$20*MAX(0,LBO_Base!$C$102-E50))/E50</f>
        <v>2.01154035849559</v>
      </c>
      <c r="H50" s="28" t="n">
        <f aca="false">I50^(1/LBO_Base!$H$6)-1</f>
        <v>0.18796102475372</v>
      </c>
      <c r="I50" s="41" t="n">
        <f aca="false">(LBO_Mgmt!$C$102-Inputs!$C$20*MAX(0,LBO_Mgmt!$C$102-E50))/E50</f>
        <v>2.36597941405206</v>
      </c>
      <c r="J50" s="28" t="n">
        <f aca="false">K50^(1/LBO_Base!$H$6)-1</f>
        <v>-0.00823466439385578</v>
      </c>
      <c r="K50" s="41" t="n">
        <f aca="false">(LBO_Down!$C$102-Inputs!$C$20*MAX(0,LBO_Down!$C$102-E50))/E50</f>
        <v>0.959499214059396</v>
      </c>
    </row>
    <row r="51" customFormat="false" ht="15" hidden="false" customHeight="false" outlineLevel="0" collapsed="false">
      <c r="A51" s="34" t="s">
        <v>420</v>
      </c>
      <c r="F51" s="35" t="n">
        <f aca="false">((LBO_Base!$C$102-Inputs!$C$20*MAX(0,LBO_Base!$C$102-(Inputs!$C$10*(1+Inputs!$C$16)+Transaction!$C$7+Inputs!$C$17-Inputs!$C$29)))/(Inputs!$C$10*(1+Inputs!$C$16)+Transaction!$C$7+Inputs!$C$17-Inputs!$C$29))^(1/LBO_Base!$H$6)-1-LBO_Base!$C$109</f>
        <v>0</v>
      </c>
    </row>
    <row r="52" customFormat="false" ht="15" hidden="false" customHeight="false" outlineLevel="0" collapsed="false">
      <c r="A52" s="2" t="s">
        <v>421</v>
      </c>
    </row>
    <row r="54" customFormat="false" ht="15" hidden="false" customHeight="false" outlineLevel="0" collapsed="false">
      <c r="A54" s="3" t="s">
        <v>422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customFormat="false" ht="15" hidden="false" customHeight="false" outlineLevel="0" collapsed="false">
      <c r="A55" s="6" t="s">
        <v>27</v>
      </c>
      <c r="B55" s="8" t="s">
        <v>406</v>
      </c>
      <c r="C55" s="47" t="n">
        <v>12</v>
      </c>
      <c r="D55" s="47" t="n">
        <v>12.5</v>
      </c>
      <c r="E55" s="47" t="n">
        <v>13</v>
      </c>
      <c r="F55" s="47" t="n">
        <v>13.5</v>
      </c>
      <c r="G55" s="47" t="n">
        <v>14</v>
      </c>
      <c r="H55" s="47" t="n">
        <v>14.5</v>
      </c>
      <c r="I55" s="47" t="n">
        <v>15</v>
      </c>
    </row>
    <row r="56" customFormat="false" ht="15" hidden="false" customHeight="false" outlineLevel="0" collapsed="false">
      <c r="A56" s="48" t="n">
        <v>12.5</v>
      </c>
      <c r="B56" s="17" t="n">
        <f aca="false">A56*Inputs!$C$8</f>
        <v>500</v>
      </c>
      <c r="C56" s="28" t="n">
        <f aca="false">(((LBO_Base!$C$97*C$55*(1-Inputs!$C$70)-LBO_Base!$H$90)-Inputs!$C$20*MAX(0,(LBO_Base!$C$97*C$55*(1-Inputs!$C$70)-LBO_Base!$H$90)-($A56*Inputs!$C$8*(1+Inputs!$C$16)+Transaction!$C$7+Inputs!$C$17-Inputs!$C$29)))/($A56*Inputs!$C$8*(1+Inputs!$C$16)+Transaction!$C$7+Inputs!$C$17-Inputs!$C$29))^(1/LBO_Base!$H$6)-1</f>
        <v>0.1955698037987</v>
      </c>
      <c r="D56" s="28" t="n">
        <f aca="false">(((LBO_Base!$C$97*D$55*(1-Inputs!$C$70)-LBO_Base!$H$90)-Inputs!$C$20*MAX(0,(LBO_Base!$C$97*D$55*(1-Inputs!$C$70)-LBO_Base!$H$90)-($A56*Inputs!$C$8*(1+Inputs!$C$16)+Transaction!$C$7+Inputs!$C$17-Inputs!$C$29)))/($A56*Inputs!$C$8*(1+Inputs!$C$16)+Transaction!$C$7+Inputs!$C$17-Inputs!$C$29))^(1/LBO_Base!$H$6)-1</f>
        <v>0.207810857665115</v>
      </c>
      <c r="E56" s="28" t="n">
        <f aca="false">(((LBO_Base!$C$97*E$55*(1-Inputs!$C$70)-LBO_Base!$H$90)-Inputs!$C$20*MAX(0,(LBO_Base!$C$97*E$55*(1-Inputs!$C$70)-LBO_Base!$H$90)-($A56*Inputs!$C$8*(1+Inputs!$C$16)+Transaction!$C$7+Inputs!$C$17-Inputs!$C$29)))/($A56*Inputs!$C$8*(1+Inputs!$C$16)+Transaction!$C$7+Inputs!$C$17-Inputs!$C$29))^(1/LBO_Base!$H$6)-1</f>
        <v>0.21957488440999</v>
      </c>
      <c r="F56" s="28" t="n">
        <f aca="false">(((LBO_Base!$C$97*F$55*(1-Inputs!$C$70)-LBO_Base!$H$90)-Inputs!$C$20*MAX(0,(LBO_Base!$C$97*F$55*(1-Inputs!$C$70)-LBO_Base!$H$90)-($A56*Inputs!$C$8*(1+Inputs!$C$16)+Transaction!$C$7+Inputs!$C$17-Inputs!$C$29)))/($A56*Inputs!$C$8*(1+Inputs!$C$16)+Transaction!$C$7+Inputs!$C$17-Inputs!$C$29))^(1/LBO_Base!$H$6)-1</f>
        <v>0.230901776176421</v>
      </c>
      <c r="G56" s="28" t="n">
        <f aca="false">(((LBO_Base!$C$97*G$55*(1-Inputs!$C$70)-LBO_Base!$H$90)-Inputs!$C$20*MAX(0,(LBO_Base!$C$97*G$55*(1-Inputs!$C$70)-LBO_Base!$H$90)-($A56*Inputs!$C$8*(1+Inputs!$C$16)+Transaction!$C$7+Inputs!$C$17-Inputs!$C$29)))/($A56*Inputs!$C$8*(1+Inputs!$C$16)+Transaction!$C$7+Inputs!$C$17-Inputs!$C$29))^(1/LBO_Base!$H$6)-1</f>
        <v>0.241826465121937</v>
      </c>
      <c r="H56" s="28" t="n">
        <f aca="false">(((LBO_Base!$C$97*H$55*(1-Inputs!$C$70)-LBO_Base!$H$90)-Inputs!$C$20*MAX(0,(LBO_Base!$C$97*H$55*(1-Inputs!$C$70)-LBO_Base!$H$90)-($A56*Inputs!$C$8*(1+Inputs!$C$16)+Transaction!$C$7+Inputs!$C$17-Inputs!$C$29)))/($A56*Inputs!$C$8*(1+Inputs!$C$16)+Transaction!$C$7+Inputs!$C$17-Inputs!$C$29))^(1/LBO_Base!$H$6)-1</f>
        <v>0.252379724927357</v>
      </c>
      <c r="I56" s="28" t="n">
        <f aca="false">(((LBO_Base!$C$97*I$55*(1-Inputs!$C$70)-LBO_Base!$H$90)-Inputs!$C$20*MAX(0,(LBO_Base!$C$97*I$55*(1-Inputs!$C$70)-LBO_Base!$H$90)-($A56*Inputs!$C$8*(1+Inputs!$C$16)+Transaction!$C$7+Inputs!$C$17-Inputs!$C$29)))/($A56*Inputs!$C$8*(1+Inputs!$C$16)+Transaction!$C$7+Inputs!$C$17-Inputs!$C$29))^(1/LBO_Base!$H$6)-1</f>
        <v>0.262588815349077</v>
      </c>
    </row>
    <row r="57" customFormat="false" ht="15" hidden="false" customHeight="false" outlineLevel="0" collapsed="false">
      <c r="A57" s="48" t="n">
        <v>13</v>
      </c>
      <c r="B57" s="17" t="n">
        <f aca="false">A57*Inputs!$C$8</f>
        <v>520</v>
      </c>
      <c r="C57" s="28" t="n">
        <f aca="false">(((LBO_Base!$C$97*C$55*(1-Inputs!$C$70)-LBO_Base!$H$90)-Inputs!$C$20*MAX(0,(LBO_Base!$C$97*C$55*(1-Inputs!$C$70)-LBO_Base!$H$90)-($A57*Inputs!$C$8*(1+Inputs!$C$16)+Transaction!$C$7+Inputs!$C$17-Inputs!$C$29)))/($A57*Inputs!$C$8*(1+Inputs!$C$16)+Transaction!$C$7+Inputs!$C$17-Inputs!$C$29))^(1/LBO_Base!$H$6)-1</f>
        <v>0.179968999724148</v>
      </c>
      <c r="D57" s="28" t="n">
        <f aca="false">(((LBO_Base!$C$97*D$55*(1-Inputs!$C$70)-LBO_Base!$H$90)-Inputs!$C$20*MAX(0,(LBO_Base!$C$97*D$55*(1-Inputs!$C$70)-LBO_Base!$H$90)-($A57*Inputs!$C$8*(1+Inputs!$C$16)+Transaction!$C$7+Inputs!$C$17-Inputs!$C$29)))/($A57*Inputs!$C$8*(1+Inputs!$C$16)+Transaction!$C$7+Inputs!$C$17-Inputs!$C$29))^(1/LBO_Base!$H$6)-1</f>
        <v>0.192016017958762</v>
      </c>
      <c r="E57" s="28" t="n">
        <f aca="false">(((LBO_Base!$C$97*E$55*(1-Inputs!$C$70)-LBO_Base!$H$90)-Inputs!$C$20*MAX(0,(LBO_Base!$C$97*E$55*(1-Inputs!$C$70)-LBO_Base!$H$90)-($A57*Inputs!$C$8*(1+Inputs!$C$16)+Transaction!$C$7+Inputs!$C$17-Inputs!$C$29)))/($A57*Inputs!$C$8*(1+Inputs!$C$16)+Transaction!$C$7+Inputs!$C$17-Inputs!$C$29))^(1/LBO_Base!$H$6)-1</f>
        <v>0.203594839403371</v>
      </c>
      <c r="F57" s="28" t="n">
        <f aca="false">(((LBO_Base!$C$97*F$55*(1-Inputs!$C$70)-LBO_Base!$H$90)-Inputs!$C$20*MAX(0,(LBO_Base!$C$97*F$55*(1-Inputs!$C$70)-LBO_Base!$H$90)-($A57*Inputs!$C$8*(1+Inputs!$C$16)+Transaction!$C$7+Inputs!$C$17-Inputs!$C$29)))/($A57*Inputs!$C$8*(1+Inputs!$C$16)+Transaction!$C$7+Inputs!$C$17-Inputs!$C$29))^(1/LBO_Base!$H$6)-1</f>
        <v>0.214744516785701</v>
      </c>
      <c r="G57" s="28" t="n">
        <f aca="false">(((LBO_Base!$C$97*G$55*(1-Inputs!$C$70)-LBO_Base!$H$90)-Inputs!$C$20*MAX(0,(LBO_Base!$C$97*G$55*(1-Inputs!$C$70)-LBO_Base!$H$90)-($A57*Inputs!$C$8*(1+Inputs!$C$16)+Transaction!$C$7+Inputs!$C$17-Inputs!$C$29)))/($A57*Inputs!$C$8*(1+Inputs!$C$16)+Transaction!$C$7+Inputs!$C$17-Inputs!$C$29))^(1/LBO_Base!$H$6)-1</f>
        <v>0.225499259187806</v>
      </c>
      <c r="H57" s="28" t="n">
        <f aca="false">(((LBO_Base!$C$97*H$55*(1-Inputs!$C$70)-LBO_Base!$H$90)-Inputs!$C$20*MAX(0,(LBO_Base!$C$97*H$55*(1-Inputs!$C$70)-LBO_Base!$H$90)-($A57*Inputs!$C$8*(1+Inputs!$C$16)+Transaction!$C$7+Inputs!$C$17-Inputs!$C$29)))/($A57*Inputs!$C$8*(1+Inputs!$C$16)+Transaction!$C$7+Inputs!$C$17-Inputs!$C$29))^(1/LBO_Base!$H$6)-1</f>
        <v>0.235889212906441</v>
      </c>
      <c r="I57" s="28" t="n">
        <f aca="false">(((LBO_Base!$C$97*I$55*(1-Inputs!$C$70)-LBO_Base!$H$90)-Inputs!$C$20*MAX(0,(LBO_Base!$C$97*I$55*(1-Inputs!$C$70)-LBO_Base!$H$90)-($A57*Inputs!$C$8*(1+Inputs!$C$16)+Transaction!$C$7+Inputs!$C$17-Inputs!$C$29)))/($A57*Inputs!$C$8*(1+Inputs!$C$16)+Transaction!$C$7+Inputs!$C$17-Inputs!$C$29))^(1/LBO_Base!$H$6)-1</f>
        <v>0.245941089746938</v>
      </c>
    </row>
    <row r="58" customFormat="false" ht="15" hidden="false" customHeight="false" outlineLevel="0" collapsed="false">
      <c r="A58" s="48" t="n">
        <v>13.5</v>
      </c>
      <c r="B58" s="17" t="n">
        <f aca="false">A58*Inputs!$C$8</f>
        <v>540</v>
      </c>
      <c r="C58" s="28" t="n">
        <f aca="false">(((LBO_Base!$C$97*C$55*(1-Inputs!$C$70)-LBO_Base!$H$90)-Inputs!$C$20*MAX(0,(LBO_Base!$C$97*C$55*(1-Inputs!$C$70)-LBO_Base!$H$90)-($A58*Inputs!$C$8*(1+Inputs!$C$16)+Transaction!$C$7+Inputs!$C$17-Inputs!$C$29)))/($A58*Inputs!$C$8*(1+Inputs!$C$16)+Transaction!$C$7+Inputs!$C$17-Inputs!$C$29))^(1/LBO_Base!$H$6)-1</f>
        <v>0.165595619254794</v>
      </c>
      <c r="D58" s="28" t="n">
        <f aca="false">(((LBO_Base!$C$97*D$55*(1-Inputs!$C$70)-LBO_Base!$H$90)-Inputs!$C$20*MAX(0,(LBO_Base!$C$97*D$55*(1-Inputs!$C$70)-LBO_Base!$H$90)-($A58*Inputs!$C$8*(1+Inputs!$C$16)+Transaction!$C$7+Inputs!$C$17-Inputs!$C$29)))/($A58*Inputs!$C$8*(1+Inputs!$C$16)+Transaction!$C$7+Inputs!$C$17-Inputs!$C$29))^(1/LBO_Base!$H$6)-1</f>
        <v>0.177462196706216</v>
      </c>
      <c r="E58" s="28" t="n">
        <f aca="false">(((LBO_Base!$C$97*E$55*(1-Inputs!$C$70)-LBO_Base!$H$90)-Inputs!$C$20*MAX(0,(LBO_Base!$C$97*E$55*(1-Inputs!$C$70)-LBO_Base!$H$90)-($A58*Inputs!$C$8*(1+Inputs!$C$16)+Transaction!$C$7+Inputs!$C$17-Inputs!$C$29)))/($A58*Inputs!$C$8*(1+Inputs!$C$16)+Transaction!$C$7+Inputs!$C$17-Inputs!$C$29))^(1/LBO_Base!$H$6)-1</f>
        <v>0.188868833163958</v>
      </c>
      <c r="F58" s="28" t="n">
        <f aca="false">(((LBO_Base!$C$97*F$55*(1-Inputs!$C$70)-LBO_Base!$H$90)-Inputs!$C$20*MAX(0,(LBO_Base!$C$97*F$55*(1-Inputs!$C$70)-LBO_Base!$H$90)-($A58*Inputs!$C$8*(1+Inputs!$C$16)+Transaction!$C$7+Inputs!$C$17-Inputs!$C$29)))/($A58*Inputs!$C$8*(1+Inputs!$C$16)+Transaction!$C$7+Inputs!$C$17-Inputs!$C$29))^(1/LBO_Base!$H$6)-1</f>
        <v>0.199853794058016</v>
      </c>
      <c r="G58" s="28" t="n">
        <f aca="false">(((LBO_Base!$C$97*G$55*(1-Inputs!$C$70)-LBO_Base!$H$90)-Inputs!$C$20*MAX(0,(LBO_Base!$C$97*G$55*(1-Inputs!$C$70)-LBO_Base!$H$90)-($A58*Inputs!$C$8*(1+Inputs!$C$16)+Transaction!$C$7+Inputs!$C$17-Inputs!$C$29)))/($A58*Inputs!$C$8*(1+Inputs!$C$16)+Transaction!$C$7+Inputs!$C$17-Inputs!$C$29))^(1/LBO_Base!$H$6)-1</f>
        <v>0.210450610492145</v>
      </c>
      <c r="H58" s="28" t="n">
        <f aca="false">(((LBO_Base!$C$97*H$55*(1-Inputs!$C$70)-LBO_Base!$H$90)-Inputs!$C$20*MAX(0,(LBO_Base!$C$97*H$55*(1-Inputs!$C$70)-LBO_Base!$H$90)-($A58*Inputs!$C$8*(1+Inputs!$C$16)+Transaction!$C$7+Inputs!$C$17-Inputs!$C$29)))/($A58*Inputs!$C$8*(1+Inputs!$C$16)+Transaction!$C$7+Inputs!$C$17-Inputs!$C$29))^(1/LBO_Base!$H$6)-1</f>
        <v>0.220688840682177</v>
      </c>
      <c r="I58" s="28" t="n">
        <f aca="false">(((LBO_Base!$C$97*I$55*(1-Inputs!$C$70)-LBO_Base!$H$90)-Inputs!$C$20*MAX(0,(LBO_Base!$C$97*I$55*(1-Inputs!$C$70)-LBO_Base!$H$90)-($A58*Inputs!$C$8*(1+Inputs!$C$16)+Transaction!$C$7+Inputs!$C$17-Inputs!$C$29)))/($A58*Inputs!$C$8*(1+Inputs!$C$16)+Transaction!$C$7+Inputs!$C$17-Inputs!$C$29))^(1/LBO_Base!$H$6)-1</f>
        <v>0.230594682958993</v>
      </c>
    </row>
    <row r="59" customFormat="false" ht="15" hidden="false" customHeight="false" outlineLevel="0" collapsed="false">
      <c r="A59" s="48" t="n">
        <v>14</v>
      </c>
      <c r="B59" s="17" t="n">
        <f aca="false">A59*Inputs!$C$8</f>
        <v>560</v>
      </c>
      <c r="C59" s="28" t="n">
        <f aca="false">(((LBO_Base!$C$97*C$55*(1-Inputs!$C$70)-LBO_Base!$H$90)-Inputs!$C$20*MAX(0,(LBO_Base!$C$97*C$55*(1-Inputs!$C$70)-LBO_Base!$H$90)-($A59*Inputs!$C$8*(1+Inputs!$C$16)+Transaction!$C$7+Inputs!$C$17-Inputs!$C$29)))/($A59*Inputs!$C$8*(1+Inputs!$C$16)+Transaction!$C$7+Inputs!$C$17-Inputs!$C$29))^(1/LBO_Base!$H$6)-1</f>
        <v>0.152287157193174</v>
      </c>
      <c r="D59" s="28" t="n">
        <f aca="false">(((LBO_Base!$C$97*D$55*(1-Inputs!$C$70)-LBO_Base!$H$90)-Inputs!$C$20*MAX(0,(LBO_Base!$C$97*D$55*(1-Inputs!$C$70)-LBO_Base!$H$90)-($A59*Inputs!$C$8*(1+Inputs!$C$16)+Transaction!$C$7+Inputs!$C$17-Inputs!$C$29)))/($A59*Inputs!$C$8*(1+Inputs!$C$16)+Transaction!$C$7+Inputs!$C$17-Inputs!$C$29))^(1/LBO_Base!$H$6)-1</f>
        <v>0.163985123811896</v>
      </c>
      <c r="E59" s="28" t="n">
        <f aca="false">(((LBO_Base!$C$97*E$55*(1-Inputs!$C$70)-LBO_Base!$H$90)-Inputs!$C$20*MAX(0,(LBO_Base!$C$97*E$55*(1-Inputs!$C$70)-LBO_Base!$H$90)-($A59*Inputs!$C$8*(1+Inputs!$C$16)+Transaction!$C$7+Inputs!$C$17-Inputs!$C$29)))/($A59*Inputs!$C$8*(1+Inputs!$C$16)+Transaction!$C$7+Inputs!$C$17-Inputs!$C$29))^(1/LBO_Base!$H$6)-1</f>
        <v>0.175230903554168</v>
      </c>
      <c r="F59" s="28" t="n">
        <f aca="false">(((LBO_Base!$C$97*F$55*(1-Inputs!$C$70)-LBO_Base!$H$90)-Inputs!$C$20*MAX(0,(LBO_Base!$C$97*F$55*(1-Inputs!$C$70)-LBO_Base!$H$90)-($A59*Inputs!$C$8*(1+Inputs!$C$16)+Transaction!$C$7+Inputs!$C$17-Inputs!$C$29)))/($A59*Inputs!$C$8*(1+Inputs!$C$16)+Transaction!$C$7+Inputs!$C$17-Inputs!$C$29))^(1/LBO_Base!$H$6)-1</f>
        <v>0.186062020222949</v>
      </c>
      <c r="G59" s="28" t="n">
        <f aca="false">(((LBO_Base!$C$97*G$55*(1-Inputs!$C$70)-LBO_Base!$H$90)-Inputs!$C$20*MAX(0,(LBO_Base!$C$97*G$55*(1-Inputs!$C$70)-LBO_Base!$H$90)-($A59*Inputs!$C$8*(1+Inputs!$C$16)+Transaction!$C$7+Inputs!$C$17-Inputs!$C$29)))/($A59*Inputs!$C$8*(1+Inputs!$C$16)+Transaction!$C$7+Inputs!$C$17-Inputs!$C$29))^(1/LBO_Base!$H$6)-1</f>
        <v>0.196511366441266</v>
      </c>
      <c r="H59" s="28" t="n">
        <f aca="false">(((LBO_Base!$C$97*H$55*(1-Inputs!$C$70)-LBO_Base!$H$90)-Inputs!$C$20*MAX(0,(LBO_Base!$C$97*H$55*(1-Inputs!$C$70)-LBO_Base!$H$90)-($A59*Inputs!$C$8*(1+Inputs!$C$16)+Transaction!$C$7+Inputs!$C$17-Inputs!$C$29)))/($A59*Inputs!$C$8*(1+Inputs!$C$16)+Transaction!$C$7+Inputs!$C$17-Inputs!$C$29))^(1/LBO_Base!$H$6)-1</f>
        <v>0.206607946750318</v>
      </c>
      <c r="I59" s="28" t="n">
        <f aca="false">(((LBO_Base!$C$97*I$55*(1-Inputs!$C$70)-LBO_Base!$H$90)-Inputs!$C$20*MAX(0,(LBO_Base!$C$97*I$55*(1-Inputs!$C$70)-LBO_Base!$H$90)-($A59*Inputs!$C$8*(1+Inputs!$C$16)+Transaction!$C$7+Inputs!$C$17-Inputs!$C$29)))/($A59*Inputs!$C$8*(1+Inputs!$C$16)+Transaction!$C$7+Inputs!$C$17-Inputs!$C$29))^(1/LBO_Base!$H$6)-1</f>
        <v>0.216377476174302</v>
      </c>
    </row>
    <row r="60" customFormat="false" ht="15" hidden="false" customHeight="false" outlineLevel="0" collapsed="false">
      <c r="A60" s="48" t="n">
        <v>14.5</v>
      </c>
      <c r="B60" s="17" t="n">
        <f aca="false">A60*Inputs!$C$8</f>
        <v>580</v>
      </c>
      <c r="C60" s="28" t="n">
        <f aca="false">(((LBO_Base!$C$97*C$55*(1-Inputs!$C$70)-LBO_Base!$H$90)-Inputs!$C$20*MAX(0,(LBO_Base!$C$97*C$55*(1-Inputs!$C$70)-LBO_Base!$H$90)-($A60*Inputs!$C$8*(1+Inputs!$C$16)+Transaction!$C$7+Inputs!$C$17-Inputs!$C$29)))/($A60*Inputs!$C$8*(1+Inputs!$C$16)+Transaction!$C$7+Inputs!$C$17-Inputs!$C$29))^(1/LBO_Base!$H$6)-1</f>
        <v>0.139910568538271</v>
      </c>
      <c r="D60" s="28" t="n">
        <f aca="false">(((LBO_Base!$C$97*D$55*(1-Inputs!$C$70)-LBO_Base!$H$90)-Inputs!$C$20*MAX(0,(LBO_Base!$C$97*D$55*(1-Inputs!$C$70)-LBO_Base!$H$90)-($A60*Inputs!$C$8*(1+Inputs!$C$16)+Transaction!$C$7+Inputs!$C$17-Inputs!$C$29)))/($A60*Inputs!$C$8*(1+Inputs!$C$16)+Transaction!$C$7+Inputs!$C$17-Inputs!$C$29))^(1/LBO_Base!$H$6)-1</f>
        <v>0.151450307489305</v>
      </c>
      <c r="E60" s="28" t="n">
        <f aca="false">(((LBO_Base!$C$97*E$55*(1-Inputs!$C$70)-LBO_Base!$H$90)-Inputs!$C$20*MAX(0,(LBO_Base!$C$97*E$55*(1-Inputs!$C$70)-LBO_Base!$H$90)-($A60*Inputs!$C$8*(1+Inputs!$C$16)+Transaction!$C$7+Inputs!$C$17-Inputs!$C$29)))/($A60*Inputs!$C$8*(1+Inputs!$C$16)+Transaction!$C$7+Inputs!$C$17-Inputs!$C$29))^(1/LBO_Base!$H$6)-1</f>
        <v>0.162545171813072</v>
      </c>
      <c r="F60" s="28" t="n">
        <f aca="false">(((LBO_Base!$C$97*F$55*(1-Inputs!$C$70)-LBO_Base!$H$90)-Inputs!$C$20*MAX(0,(LBO_Base!$C$97*F$55*(1-Inputs!$C$70)-LBO_Base!$H$90)-($A60*Inputs!$C$8*(1+Inputs!$C$16)+Transaction!$C$7+Inputs!$C$17-Inputs!$C$29)))/($A60*Inputs!$C$8*(1+Inputs!$C$16)+Transaction!$C$7+Inputs!$C$17-Inputs!$C$29))^(1/LBO_Base!$H$6)-1</f>
        <v>0.173231984054963</v>
      </c>
      <c r="G60" s="28" t="n">
        <f aca="false">(((LBO_Base!$C$97*G$55*(1-Inputs!$C$70)-LBO_Base!$H$90)-Inputs!$C$20*MAX(0,(LBO_Base!$C$97*G$55*(1-Inputs!$C$70)-LBO_Base!$H$90)-($A60*Inputs!$C$8*(1+Inputs!$C$16)+Transaction!$C$7+Inputs!$C$17-Inputs!$C$29)))/($A60*Inputs!$C$8*(1+Inputs!$C$16)+Transaction!$C$7+Inputs!$C$17-Inputs!$C$29))^(1/LBO_Base!$H$6)-1</f>
        <v>0.183543033251637</v>
      </c>
      <c r="H60" s="28" t="n">
        <f aca="false">(((LBO_Base!$C$97*H$55*(1-Inputs!$C$70)-LBO_Base!$H$90)-Inputs!$C$20*MAX(0,(LBO_Base!$C$97*H$55*(1-Inputs!$C$70)-LBO_Base!$H$90)-($A60*Inputs!$C$8*(1+Inputs!$C$16)+Transaction!$C$7+Inputs!$C$17-Inputs!$C$29)))/($A60*Inputs!$C$8*(1+Inputs!$C$16)+Transaction!$C$7+Inputs!$C$17-Inputs!$C$29))^(1/LBO_Base!$H$6)-1</f>
        <v>0.19350680065139</v>
      </c>
      <c r="I60" s="28" t="n">
        <f aca="false">(((LBO_Base!$C$97*I$55*(1-Inputs!$C$70)-LBO_Base!$H$90)-Inputs!$C$20*MAX(0,(LBO_Base!$C$97*I$55*(1-Inputs!$C$70)-LBO_Base!$H$90)-($A60*Inputs!$C$8*(1+Inputs!$C$16)+Transaction!$C$7+Inputs!$C$17-Inputs!$C$29)))/($A60*Inputs!$C$8*(1+Inputs!$C$16)+Transaction!$C$7+Inputs!$C$17-Inputs!$C$29))^(1/LBO_Base!$H$6)-1</f>
        <v>0.203148544598955</v>
      </c>
    </row>
    <row r="61" customFormat="false" ht="15" hidden="false" customHeight="false" outlineLevel="0" collapsed="false">
      <c r="A61" s="48" t="n">
        <v>15</v>
      </c>
      <c r="B61" s="17" t="n">
        <f aca="false">A61*Inputs!$C$8</f>
        <v>600</v>
      </c>
      <c r="C61" s="28" t="n">
        <f aca="false">(((LBO_Base!$C$97*C$55*(1-Inputs!$C$70)-LBO_Base!$H$90)-Inputs!$C$20*MAX(0,(LBO_Base!$C$97*C$55*(1-Inputs!$C$70)-LBO_Base!$H$90)-($A61*Inputs!$C$8*(1+Inputs!$C$16)+Transaction!$C$7+Inputs!$C$17-Inputs!$C$29)))/($A61*Inputs!$C$8*(1+Inputs!$C$16)+Transaction!$C$7+Inputs!$C$17-Inputs!$C$29))^(1/LBO_Base!$H$6)-1</f>
        <v>0.12835563650966</v>
      </c>
      <c r="D61" s="28" t="n">
        <f aca="false">(((LBO_Base!$C$97*D$55*(1-Inputs!$C$70)-LBO_Base!$H$90)-Inputs!$C$20*MAX(0,(LBO_Base!$C$97*D$55*(1-Inputs!$C$70)-LBO_Base!$H$90)-($A61*Inputs!$C$8*(1+Inputs!$C$16)+Transaction!$C$7+Inputs!$C$17-Inputs!$C$29)))/($A61*Inputs!$C$8*(1+Inputs!$C$16)+Transaction!$C$7+Inputs!$C$17-Inputs!$C$29))^(1/LBO_Base!$H$6)-1</f>
        <v>0.139746330870103</v>
      </c>
      <c r="E61" s="28" t="n">
        <f aca="false">(((LBO_Base!$C$97*E$55*(1-Inputs!$C$70)-LBO_Base!$H$90)-Inputs!$C$20*MAX(0,(LBO_Base!$C$97*E$55*(1-Inputs!$C$70)-LBO_Base!$H$90)-($A61*Inputs!$C$8*(1+Inputs!$C$16)+Transaction!$C$7+Inputs!$C$17-Inputs!$C$29)))/($A61*Inputs!$C$8*(1+Inputs!$C$16)+Transaction!$C$7+Inputs!$C$17-Inputs!$C$29))^(1/LBO_Base!$H$6)-1</f>
        <v>0.150699070670589</v>
      </c>
      <c r="F61" s="28" t="n">
        <f aca="false">(((LBO_Base!$C$97*F$55*(1-Inputs!$C$70)-LBO_Base!$H$90)-Inputs!$C$20*MAX(0,(LBO_Base!$C$97*F$55*(1-Inputs!$C$70)-LBO_Base!$H$90)-($A61*Inputs!$C$8*(1+Inputs!$C$16)+Transaction!$C$7+Inputs!$C$17-Inputs!$C$29)))/($A61*Inputs!$C$8*(1+Inputs!$C$16)+Transaction!$C$7+Inputs!$C$17-Inputs!$C$29))^(1/LBO_Base!$H$6)-1</f>
        <v>0.161250013157226</v>
      </c>
      <c r="G61" s="28" t="n">
        <f aca="false">(((LBO_Base!$C$97*G$55*(1-Inputs!$C$70)-LBO_Base!$H$90)-Inputs!$C$20*MAX(0,(LBO_Base!$C$97*G$55*(1-Inputs!$C$70)-LBO_Base!$H$90)-($A61*Inputs!$C$8*(1+Inputs!$C$16)+Transaction!$C$7+Inputs!$C$17-Inputs!$C$29)))/($A61*Inputs!$C$8*(1+Inputs!$C$16)+Transaction!$C$7+Inputs!$C$17-Inputs!$C$29))^(1/LBO_Base!$H$6)-1</f>
        <v>0.171430874845353</v>
      </c>
      <c r="H61" s="28" t="n">
        <f aca="false">(((LBO_Base!$C$97*H$55*(1-Inputs!$C$70)-LBO_Base!$H$90)-Inputs!$C$20*MAX(0,(LBO_Base!$C$97*H$55*(1-Inputs!$C$70)-LBO_Base!$H$90)-($A61*Inputs!$C$8*(1+Inputs!$C$16)+Transaction!$C$7+Inputs!$C$17-Inputs!$C$29)))/($A61*Inputs!$C$8*(1+Inputs!$C$16)+Transaction!$C$7+Inputs!$C$17-Inputs!$C$29))^(1/LBO_Base!$H$6)-1</f>
        <v>0.181269640724957</v>
      </c>
      <c r="I61" s="28" t="n">
        <f aca="false">(((LBO_Base!$C$97*I$55*(1-Inputs!$C$70)-LBO_Base!$H$90)-Inputs!$C$20*MAX(0,(LBO_Base!$C$97*I$55*(1-Inputs!$C$70)-LBO_Base!$H$90)-($A61*Inputs!$C$8*(1+Inputs!$C$16)+Transaction!$C$7+Inputs!$C$17-Inputs!$C$29)))/($A61*Inputs!$C$8*(1+Inputs!$C$16)+Transaction!$C$7+Inputs!$C$17-Inputs!$C$29))^(1/LBO_Base!$H$6)-1</f>
        <v>0.190791136144587</v>
      </c>
    </row>
    <row r="63" customFormat="false" ht="15" hidden="false" customHeight="false" outlineLevel="0" collapsed="false">
      <c r="A63" s="3" t="s">
        <v>423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customFormat="false" ht="15" hidden="false" customHeight="false" outlineLevel="0" collapsed="false">
      <c r="A64" s="6" t="s">
        <v>27</v>
      </c>
      <c r="B64" s="8" t="s">
        <v>406</v>
      </c>
      <c r="C64" s="47" t="n">
        <v>12</v>
      </c>
      <c r="D64" s="47" t="n">
        <v>12.5</v>
      </c>
      <c r="E64" s="47" t="n">
        <v>13</v>
      </c>
      <c r="F64" s="47" t="n">
        <v>13.5</v>
      </c>
      <c r="G64" s="47" t="n">
        <v>14</v>
      </c>
      <c r="H64" s="47" t="n">
        <v>14.5</v>
      </c>
      <c r="I64" s="47" t="n">
        <v>15</v>
      </c>
    </row>
    <row r="65" customFormat="false" ht="15" hidden="false" customHeight="false" outlineLevel="0" collapsed="false">
      <c r="A65" s="48" t="n">
        <v>12.5</v>
      </c>
      <c r="B65" s="17" t="n">
        <f aca="false">A65*Inputs!$C$8</f>
        <v>500</v>
      </c>
      <c r="C65" s="41" t="n">
        <f aca="false">((LBO_Base!$C$97*C$64*(1-Inputs!$C$70)-LBO_Base!$H$90)-Inputs!$C$20*MAX(0,(LBO_Base!$C$97*C$64*(1-Inputs!$C$70)-LBO_Base!$H$90)-($A65*Inputs!$C$8*(1+Inputs!$C$16)+Transaction!$C$7+Inputs!$C$17-Inputs!$C$29)))/($A65*Inputs!$C$8*(1+Inputs!$C$16)+Transaction!$C$7+Inputs!$C$17-Inputs!$C$29)</f>
        <v>2.44272562432772</v>
      </c>
      <c r="D65" s="41" t="n">
        <f aca="false">((LBO_Base!$C$97*D$64*(1-Inputs!$C$70)-LBO_Base!$H$90)-Inputs!$C$20*MAX(0,(LBO_Base!$C$97*D$64*(1-Inputs!$C$70)-LBO_Base!$H$90)-($A65*Inputs!$C$8*(1+Inputs!$C$16)+Transaction!$C$7+Inputs!$C$17-Inputs!$C$29)))/($A65*Inputs!$C$8*(1+Inputs!$C$16)+Transaction!$C$7+Inputs!$C$17-Inputs!$C$29)</f>
        <v>2.57036410087574</v>
      </c>
      <c r="E65" s="41" t="n">
        <f aca="false">((LBO_Base!$C$97*E$64*(1-Inputs!$C$70)-LBO_Base!$H$90)-Inputs!$C$20*MAX(0,(LBO_Base!$C$97*E$64*(1-Inputs!$C$70)-LBO_Base!$H$90)-($A65*Inputs!$C$8*(1+Inputs!$C$16)+Transaction!$C$7+Inputs!$C$17-Inputs!$C$29)))/($A65*Inputs!$C$8*(1+Inputs!$C$16)+Transaction!$C$7+Inputs!$C$17-Inputs!$C$29)</f>
        <v>2.69800257742376</v>
      </c>
      <c r="F65" s="41" t="n">
        <f aca="false">((LBO_Base!$C$97*F$64*(1-Inputs!$C$70)-LBO_Base!$H$90)-Inputs!$C$20*MAX(0,(LBO_Base!$C$97*F$64*(1-Inputs!$C$70)-LBO_Base!$H$90)-($A65*Inputs!$C$8*(1+Inputs!$C$16)+Transaction!$C$7+Inputs!$C$17-Inputs!$C$29)))/($A65*Inputs!$C$8*(1+Inputs!$C$16)+Transaction!$C$7+Inputs!$C$17-Inputs!$C$29)</f>
        <v>2.82564105397178</v>
      </c>
      <c r="G65" s="41" t="n">
        <f aca="false">((LBO_Base!$C$97*G$64*(1-Inputs!$C$70)-LBO_Base!$H$90)-Inputs!$C$20*MAX(0,(LBO_Base!$C$97*G$64*(1-Inputs!$C$70)-LBO_Base!$H$90)-($A65*Inputs!$C$8*(1+Inputs!$C$16)+Transaction!$C$7+Inputs!$C$17-Inputs!$C$29)))/($A65*Inputs!$C$8*(1+Inputs!$C$16)+Transaction!$C$7+Inputs!$C$17-Inputs!$C$29)</f>
        <v>2.95327953051981</v>
      </c>
      <c r="H65" s="41" t="n">
        <f aca="false">((LBO_Base!$C$97*H$64*(1-Inputs!$C$70)-LBO_Base!$H$90)-Inputs!$C$20*MAX(0,(LBO_Base!$C$97*H$64*(1-Inputs!$C$70)-LBO_Base!$H$90)-($A65*Inputs!$C$8*(1+Inputs!$C$16)+Transaction!$C$7+Inputs!$C$17-Inputs!$C$29)))/($A65*Inputs!$C$8*(1+Inputs!$C$16)+Transaction!$C$7+Inputs!$C$17-Inputs!$C$29)</f>
        <v>3.08091800706783</v>
      </c>
      <c r="I65" s="41" t="n">
        <f aca="false">((LBO_Base!$C$97*I$64*(1-Inputs!$C$70)-LBO_Base!$H$90)-Inputs!$C$20*MAX(0,(LBO_Base!$C$97*I$64*(1-Inputs!$C$70)-LBO_Base!$H$90)-($A65*Inputs!$C$8*(1+Inputs!$C$16)+Transaction!$C$7+Inputs!$C$17-Inputs!$C$29)))/($A65*Inputs!$C$8*(1+Inputs!$C$16)+Transaction!$C$7+Inputs!$C$17-Inputs!$C$29)</f>
        <v>3.20855648361585</v>
      </c>
    </row>
    <row r="66" customFormat="false" ht="15" hidden="false" customHeight="false" outlineLevel="0" collapsed="false">
      <c r="A66" s="48" t="n">
        <v>13</v>
      </c>
      <c r="B66" s="17" t="n">
        <f aca="false">A66*Inputs!$C$8</f>
        <v>520</v>
      </c>
      <c r="C66" s="41" t="n">
        <f aca="false">((LBO_Base!$C$97*C$64*(1-Inputs!$C$70)-LBO_Base!$H$90)-Inputs!$C$20*MAX(0,(LBO_Base!$C$97*C$64*(1-Inputs!$C$70)-LBO_Base!$H$90)-($A66*Inputs!$C$8*(1+Inputs!$C$16)+Transaction!$C$7+Inputs!$C$17-Inputs!$C$29)))/($A66*Inputs!$C$8*(1+Inputs!$C$16)+Transaction!$C$7+Inputs!$C$17-Inputs!$C$29)</f>
        <v>2.28745725936253</v>
      </c>
      <c r="D66" s="41" t="n">
        <f aca="false">((LBO_Base!$C$97*D$64*(1-Inputs!$C$70)-LBO_Base!$H$90)-Inputs!$C$20*MAX(0,(LBO_Base!$C$97*D$64*(1-Inputs!$C$70)-LBO_Base!$H$90)-($A66*Inputs!$C$8*(1+Inputs!$C$16)+Transaction!$C$7+Inputs!$C$17-Inputs!$C$29)))/($A66*Inputs!$C$8*(1+Inputs!$C$16)+Transaction!$C$7+Inputs!$C$17-Inputs!$C$29)</f>
        <v>2.40663626572998</v>
      </c>
      <c r="E66" s="41" t="n">
        <f aca="false">((LBO_Base!$C$97*E$64*(1-Inputs!$C$70)-LBO_Base!$H$90)-Inputs!$C$20*MAX(0,(LBO_Base!$C$97*E$64*(1-Inputs!$C$70)-LBO_Base!$H$90)-($A66*Inputs!$C$8*(1+Inputs!$C$16)+Transaction!$C$7+Inputs!$C$17-Inputs!$C$29)))/($A66*Inputs!$C$8*(1+Inputs!$C$16)+Transaction!$C$7+Inputs!$C$17-Inputs!$C$29)</f>
        <v>2.52581527209743</v>
      </c>
      <c r="F66" s="41" t="n">
        <f aca="false">((LBO_Base!$C$97*F$64*(1-Inputs!$C$70)-LBO_Base!$H$90)-Inputs!$C$20*MAX(0,(LBO_Base!$C$97*F$64*(1-Inputs!$C$70)-LBO_Base!$H$90)-($A66*Inputs!$C$8*(1+Inputs!$C$16)+Transaction!$C$7+Inputs!$C$17-Inputs!$C$29)))/($A66*Inputs!$C$8*(1+Inputs!$C$16)+Transaction!$C$7+Inputs!$C$17-Inputs!$C$29)</f>
        <v>2.64499427846488</v>
      </c>
      <c r="G66" s="41" t="n">
        <f aca="false">((LBO_Base!$C$97*G$64*(1-Inputs!$C$70)-LBO_Base!$H$90)-Inputs!$C$20*MAX(0,(LBO_Base!$C$97*G$64*(1-Inputs!$C$70)-LBO_Base!$H$90)-($A66*Inputs!$C$8*(1+Inputs!$C$16)+Transaction!$C$7+Inputs!$C$17-Inputs!$C$29)))/($A66*Inputs!$C$8*(1+Inputs!$C$16)+Transaction!$C$7+Inputs!$C$17-Inputs!$C$29)</f>
        <v>2.76417328483233</v>
      </c>
      <c r="H66" s="41" t="n">
        <f aca="false">((LBO_Base!$C$97*H$64*(1-Inputs!$C$70)-LBO_Base!$H$90)-Inputs!$C$20*MAX(0,(LBO_Base!$C$97*H$64*(1-Inputs!$C$70)-LBO_Base!$H$90)-($A66*Inputs!$C$8*(1+Inputs!$C$16)+Transaction!$C$7+Inputs!$C$17-Inputs!$C$29)))/($A66*Inputs!$C$8*(1+Inputs!$C$16)+Transaction!$C$7+Inputs!$C$17-Inputs!$C$29)</f>
        <v>2.88335229119979</v>
      </c>
      <c r="I66" s="41" t="n">
        <f aca="false">((LBO_Base!$C$97*I$64*(1-Inputs!$C$70)-LBO_Base!$H$90)-Inputs!$C$20*MAX(0,(LBO_Base!$C$97*I$64*(1-Inputs!$C$70)-LBO_Base!$H$90)-($A66*Inputs!$C$8*(1+Inputs!$C$16)+Transaction!$C$7+Inputs!$C$17-Inputs!$C$29)))/($A66*Inputs!$C$8*(1+Inputs!$C$16)+Transaction!$C$7+Inputs!$C$17-Inputs!$C$29)</f>
        <v>3.00253129756724</v>
      </c>
    </row>
    <row r="67" customFormat="false" ht="15" hidden="false" customHeight="false" outlineLevel="0" collapsed="false">
      <c r="A67" s="48" t="n">
        <v>13.5</v>
      </c>
      <c r="B67" s="17" t="n">
        <f aca="false">A67*Inputs!$C$8</f>
        <v>540</v>
      </c>
      <c r="C67" s="41" t="n">
        <f aca="false">((LBO_Base!$C$97*C$64*(1-Inputs!$C$70)-LBO_Base!$H$90)-Inputs!$C$20*MAX(0,(LBO_Base!$C$97*C$64*(1-Inputs!$C$70)-LBO_Base!$H$90)-($A67*Inputs!$C$8*(1+Inputs!$C$16)+Transaction!$C$7+Inputs!$C$17-Inputs!$C$29)))/($A67*Inputs!$C$8*(1+Inputs!$C$16)+Transaction!$C$7+Inputs!$C$17-Inputs!$C$29)</f>
        <v>2.15149099461239</v>
      </c>
      <c r="D67" s="41" t="n">
        <f aca="false">((LBO_Base!$C$97*D$64*(1-Inputs!$C$70)-LBO_Base!$H$90)-Inputs!$C$20*MAX(0,(LBO_Base!$C$97*D$64*(1-Inputs!$C$70)-LBO_Base!$H$90)-($A67*Inputs!$C$8*(1+Inputs!$C$16)+Transaction!$C$7+Inputs!$C$17-Inputs!$C$29)))/($A67*Inputs!$C$8*(1+Inputs!$C$16)+Transaction!$C$7+Inputs!$C$17-Inputs!$C$29)</f>
        <v>2.26326216511788</v>
      </c>
      <c r="E67" s="41" t="n">
        <f aca="false">((LBO_Base!$C$97*E$64*(1-Inputs!$C$70)-LBO_Base!$H$90)-Inputs!$C$20*MAX(0,(LBO_Base!$C$97*E$64*(1-Inputs!$C$70)-LBO_Base!$H$90)-($A67*Inputs!$C$8*(1+Inputs!$C$16)+Transaction!$C$7+Inputs!$C$17-Inputs!$C$29)))/($A67*Inputs!$C$8*(1+Inputs!$C$16)+Transaction!$C$7+Inputs!$C$17-Inputs!$C$29)</f>
        <v>2.37503333562337</v>
      </c>
      <c r="F67" s="41" t="n">
        <f aca="false">((LBO_Base!$C$97*F$64*(1-Inputs!$C$70)-LBO_Base!$H$90)-Inputs!$C$20*MAX(0,(LBO_Base!$C$97*F$64*(1-Inputs!$C$70)-LBO_Base!$H$90)-($A67*Inputs!$C$8*(1+Inputs!$C$16)+Transaction!$C$7+Inputs!$C$17-Inputs!$C$29)))/($A67*Inputs!$C$8*(1+Inputs!$C$16)+Transaction!$C$7+Inputs!$C$17-Inputs!$C$29)</f>
        <v>2.48680450612886</v>
      </c>
      <c r="G67" s="41" t="n">
        <f aca="false">((LBO_Base!$C$97*G$64*(1-Inputs!$C$70)-LBO_Base!$H$90)-Inputs!$C$20*MAX(0,(LBO_Base!$C$97*G$64*(1-Inputs!$C$70)-LBO_Base!$H$90)-($A67*Inputs!$C$8*(1+Inputs!$C$16)+Transaction!$C$7+Inputs!$C$17-Inputs!$C$29)))/($A67*Inputs!$C$8*(1+Inputs!$C$16)+Transaction!$C$7+Inputs!$C$17-Inputs!$C$29)</f>
        <v>2.59857567663435</v>
      </c>
      <c r="H67" s="41" t="n">
        <f aca="false">((LBO_Base!$C$97*H$64*(1-Inputs!$C$70)-LBO_Base!$H$90)-Inputs!$C$20*MAX(0,(LBO_Base!$C$97*H$64*(1-Inputs!$C$70)-LBO_Base!$H$90)-($A67*Inputs!$C$8*(1+Inputs!$C$16)+Transaction!$C$7+Inputs!$C$17-Inputs!$C$29)))/($A67*Inputs!$C$8*(1+Inputs!$C$16)+Transaction!$C$7+Inputs!$C$17-Inputs!$C$29)</f>
        <v>2.71034684713984</v>
      </c>
      <c r="I67" s="41" t="n">
        <f aca="false">((LBO_Base!$C$97*I$64*(1-Inputs!$C$70)-LBO_Base!$H$90)-Inputs!$C$20*MAX(0,(LBO_Base!$C$97*I$64*(1-Inputs!$C$70)-LBO_Base!$H$90)-($A67*Inputs!$C$8*(1+Inputs!$C$16)+Transaction!$C$7+Inputs!$C$17-Inputs!$C$29)))/($A67*Inputs!$C$8*(1+Inputs!$C$16)+Transaction!$C$7+Inputs!$C$17-Inputs!$C$29)</f>
        <v>2.82211801764533</v>
      </c>
    </row>
    <row r="68" customFormat="false" ht="15" hidden="false" customHeight="false" outlineLevel="0" collapsed="false">
      <c r="A68" s="48" t="n">
        <v>14</v>
      </c>
      <c r="B68" s="17" t="n">
        <f aca="false">A68*Inputs!$C$8</f>
        <v>560</v>
      </c>
      <c r="C68" s="41" t="n">
        <f aca="false">((LBO_Base!$C$97*C$64*(1-Inputs!$C$70)-LBO_Base!$H$90)-Inputs!$C$20*MAX(0,(LBO_Base!$C$97*C$64*(1-Inputs!$C$70)-LBO_Base!$H$90)-($A68*Inputs!$C$8*(1+Inputs!$C$16)+Transaction!$C$7+Inputs!$C$17-Inputs!$C$29)))/($A68*Inputs!$C$8*(1+Inputs!$C$16)+Transaction!$C$7+Inputs!$C$17-Inputs!$C$29)</f>
        <v>2.03143816532354</v>
      </c>
      <c r="D68" s="41" t="n">
        <f aca="false">((LBO_Base!$C$97*D$64*(1-Inputs!$C$70)-LBO_Base!$H$90)-Inputs!$C$20*MAX(0,(LBO_Base!$C$97*D$64*(1-Inputs!$C$70)-LBO_Base!$H$90)-($A68*Inputs!$C$8*(1+Inputs!$C$16)+Transaction!$C$7+Inputs!$C$17-Inputs!$C$29)))/($A68*Inputs!$C$8*(1+Inputs!$C$16)+Transaction!$C$7+Inputs!$C$17-Inputs!$C$29)</f>
        <v>2.13666851001631</v>
      </c>
      <c r="E68" s="41" t="n">
        <f aca="false">((LBO_Base!$C$97*E$64*(1-Inputs!$C$70)-LBO_Base!$H$90)-Inputs!$C$20*MAX(0,(LBO_Base!$C$97*E$64*(1-Inputs!$C$70)-LBO_Base!$H$90)-($A68*Inputs!$C$8*(1+Inputs!$C$16)+Transaction!$C$7+Inputs!$C$17-Inputs!$C$29)))/($A68*Inputs!$C$8*(1+Inputs!$C$16)+Transaction!$C$7+Inputs!$C$17-Inputs!$C$29)</f>
        <v>2.24189885470909</v>
      </c>
      <c r="F68" s="41" t="n">
        <f aca="false">((LBO_Base!$C$97*F$64*(1-Inputs!$C$70)-LBO_Base!$H$90)-Inputs!$C$20*MAX(0,(LBO_Base!$C$97*F$64*(1-Inputs!$C$70)-LBO_Base!$H$90)-($A68*Inputs!$C$8*(1+Inputs!$C$16)+Transaction!$C$7+Inputs!$C$17-Inputs!$C$29)))/($A68*Inputs!$C$8*(1+Inputs!$C$16)+Transaction!$C$7+Inputs!$C$17-Inputs!$C$29)</f>
        <v>2.34712919940187</v>
      </c>
      <c r="G68" s="41" t="n">
        <f aca="false">((LBO_Base!$C$97*G$64*(1-Inputs!$C$70)-LBO_Base!$H$90)-Inputs!$C$20*MAX(0,(LBO_Base!$C$97*G$64*(1-Inputs!$C$70)-LBO_Base!$H$90)-($A68*Inputs!$C$8*(1+Inputs!$C$16)+Transaction!$C$7+Inputs!$C$17-Inputs!$C$29)))/($A68*Inputs!$C$8*(1+Inputs!$C$16)+Transaction!$C$7+Inputs!$C$17-Inputs!$C$29)</f>
        <v>2.45235954409464</v>
      </c>
      <c r="H68" s="41" t="n">
        <f aca="false">((LBO_Base!$C$97*H$64*(1-Inputs!$C$70)-LBO_Base!$H$90)-Inputs!$C$20*MAX(0,(LBO_Base!$C$97*H$64*(1-Inputs!$C$70)-LBO_Base!$H$90)-($A68*Inputs!$C$8*(1+Inputs!$C$16)+Transaction!$C$7+Inputs!$C$17-Inputs!$C$29)))/($A68*Inputs!$C$8*(1+Inputs!$C$16)+Transaction!$C$7+Inputs!$C$17-Inputs!$C$29)</f>
        <v>2.55758988878742</v>
      </c>
      <c r="I68" s="41" t="n">
        <f aca="false">((LBO_Base!$C$97*I$64*(1-Inputs!$C$70)-LBO_Base!$H$90)-Inputs!$C$20*MAX(0,(LBO_Base!$C$97*I$64*(1-Inputs!$C$70)-LBO_Base!$H$90)-($A68*Inputs!$C$8*(1+Inputs!$C$16)+Transaction!$C$7+Inputs!$C$17-Inputs!$C$29)))/($A68*Inputs!$C$8*(1+Inputs!$C$16)+Transaction!$C$7+Inputs!$C$17-Inputs!$C$29)</f>
        <v>2.66282023348019</v>
      </c>
    </row>
    <row r="69" customFormat="false" ht="15" hidden="false" customHeight="false" outlineLevel="0" collapsed="false">
      <c r="A69" s="48" t="n">
        <v>14.5</v>
      </c>
      <c r="B69" s="17" t="n">
        <f aca="false">A69*Inputs!$C$8</f>
        <v>580</v>
      </c>
      <c r="C69" s="41" t="n">
        <f aca="false">((LBO_Base!$C$97*C$64*(1-Inputs!$C$70)-LBO_Base!$H$90)-Inputs!$C$20*MAX(0,(LBO_Base!$C$97*C$64*(1-Inputs!$C$70)-LBO_Base!$H$90)-($A69*Inputs!$C$8*(1+Inputs!$C$16)+Transaction!$C$7+Inputs!$C$17-Inputs!$C$29)))/($A69*Inputs!$C$8*(1+Inputs!$C$16)+Transaction!$C$7+Inputs!$C$17-Inputs!$C$29)</f>
        <v>1.92465947000484</v>
      </c>
      <c r="D69" s="41" t="n">
        <f aca="false">((LBO_Base!$C$97*D$64*(1-Inputs!$C$70)-LBO_Base!$H$90)-Inputs!$C$20*MAX(0,(LBO_Base!$C$97*D$64*(1-Inputs!$C$70)-LBO_Base!$H$90)-($A69*Inputs!$C$8*(1+Inputs!$C$16)+Transaction!$C$7+Inputs!$C$17-Inputs!$C$29)))/($A69*Inputs!$C$8*(1+Inputs!$C$16)+Transaction!$C$7+Inputs!$C$17-Inputs!$C$29)</f>
        <v>2.02407220214549</v>
      </c>
      <c r="E69" s="41" t="n">
        <f aca="false">((LBO_Base!$C$97*E$64*(1-Inputs!$C$70)-LBO_Base!$H$90)-Inputs!$C$20*MAX(0,(LBO_Base!$C$97*E$64*(1-Inputs!$C$70)-LBO_Base!$H$90)-($A69*Inputs!$C$8*(1+Inputs!$C$16)+Transaction!$C$7+Inputs!$C$17-Inputs!$C$29)))/($A69*Inputs!$C$8*(1+Inputs!$C$16)+Transaction!$C$7+Inputs!$C$17-Inputs!$C$29)</f>
        <v>2.12348493428615</v>
      </c>
      <c r="F69" s="41" t="n">
        <f aca="false">((LBO_Base!$C$97*F$64*(1-Inputs!$C$70)-LBO_Base!$H$90)-Inputs!$C$20*MAX(0,(LBO_Base!$C$97*F$64*(1-Inputs!$C$70)-LBO_Base!$H$90)-($A69*Inputs!$C$8*(1+Inputs!$C$16)+Transaction!$C$7+Inputs!$C$17-Inputs!$C$29)))/($A69*Inputs!$C$8*(1+Inputs!$C$16)+Transaction!$C$7+Inputs!$C$17-Inputs!$C$29)</f>
        <v>2.2228976664268</v>
      </c>
      <c r="G69" s="41" t="n">
        <f aca="false">((LBO_Base!$C$97*G$64*(1-Inputs!$C$70)-LBO_Base!$H$90)-Inputs!$C$20*MAX(0,(LBO_Base!$C$97*G$64*(1-Inputs!$C$70)-LBO_Base!$H$90)-($A69*Inputs!$C$8*(1+Inputs!$C$16)+Transaction!$C$7+Inputs!$C$17-Inputs!$C$29)))/($A69*Inputs!$C$8*(1+Inputs!$C$16)+Transaction!$C$7+Inputs!$C$17-Inputs!$C$29)</f>
        <v>2.32231039856746</v>
      </c>
      <c r="H69" s="41" t="n">
        <f aca="false">((LBO_Base!$C$97*H$64*(1-Inputs!$C$70)-LBO_Base!$H$90)-Inputs!$C$20*MAX(0,(LBO_Base!$C$97*H$64*(1-Inputs!$C$70)-LBO_Base!$H$90)-($A69*Inputs!$C$8*(1+Inputs!$C$16)+Transaction!$C$7+Inputs!$C$17-Inputs!$C$29)))/($A69*Inputs!$C$8*(1+Inputs!$C$16)+Transaction!$C$7+Inputs!$C$17-Inputs!$C$29)</f>
        <v>2.42172313070811</v>
      </c>
      <c r="I69" s="41" t="n">
        <f aca="false">((LBO_Base!$C$97*I$64*(1-Inputs!$C$70)-LBO_Base!$H$90)-Inputs!$C$20*MAX(0,(LBO_Base!$C$97*I$64*(1-Inputs!$C$70)-LBO_Base!$H$90)-($A69*Inputs!$C$8*(1+Inputs!$C$16)+Transaction!$C$7+Inputs!$C$17-Inputs!$C$29)))/($A69*Inputs!$C$8*(1+Inputs!$C$16)+Transaction!$C$7+Inputs!$C$17-Inputs!$C$29)</f>
        <v>2.52113586284877</v>
      </c>
    </row>
    <row r="70" customFormat="false" ht="15" hidden="false" customHeight="false" outlineLevel="0" collapsed="false">
      <c r="A70" s="48" t="n">
        <v>15</v>
      </c>
      <c r="B70" s="17" t="n">
        <f aca="false">A70*Inputs!$C$8</f>
        <v>600</v>
      </c>
      <c r="C70" s="41" t="n">
        <f aca="false">((LBO_Base!$C$97*C$64*(1-Inputs!$C$70)-LBO_Base!$H$90)-Inputs!$C$20*MAX(0,(LBO_Base!$C$97*C$64*(1-Inputs!$C$70)-LBO_Base!$H$90)-($A70*Inputs!$C$8*(1+Inputs!$C$16)+Transaction!$C$7+Inputs!$C$17-Inputs!$C$29)))/($A70*Inputs!$C$8*(1+Inputs!$C$16)+Transaction!$C$7+Inputs!$C$17-Inputs!$C$29)</f>
        <v>1.82906868112939</v>
      </c>
      <c r="D70" s="41" t="n">
        <f aca="false">((LBO_Base!$C$97*D$64*(1-Inputs!$C$70)-LBO_Base!$H$90)-Inputs!$C$20*MAX(0,(LBO_Base!$C$97*D$64*(1-Inputs!$C$70)-LBO_Base!$H$90)-($A70*Inputs!$C$8*(1+Inputs!$C$16)+Transaction!$C$7+Inputs!$C$17-Inputs!$C$29)))/($A70*Inputs!$C$8*(1+Inputs!$C$16)+Transaction!$C$7+Inputs!$C$17-Inputs!$C$29)</f>
        <v>1.92327335026114</v>
      </c>
      <c r="E70" s="41" t="n">
        <f aca="false">((LBO_Base!$C$97*E$64*(1-Inputs!$C$70)-LBO_Base!$H$90)-Inputs!$C$20*MAX(0,(LBO_Base!$C$97*E$64*(1-Inputs!$C$70)-LBO_Base!$H$90)-($A70*Inputs!$C$8*(1+Inputs!$C$16)+Transaction!$C$7+Inputs!$C$17-Inputs!$C$29)))/($A70*Inputs!$C$8*(1+Inputs!$C$16)+Transaction!$C$7+Inputs!$C$17-Inputs!$C$29)</f>
        <v>2.01747801939288</v>
      </c>
      <c r="F70" s="41" t="n">
        <f aca="false">((LBO_Base!$C$97*F$64*(1-Inputs!$C$70)-LBO_Base!$H$90)-Inputs!$C$20*MAX(0,(LBO_Base!$C$97*F$64*(1-Inputs!$C$70)-LBO_Base!$H$90)-($A70*Inputs!$C$8*(1+Inputs!$C$16)+Transaction!$C$7+Inputs!$C$17-Inputs!$C$29)))/($A70*Inputs!$C$8*(1+Inputs!$C$16)+Transaction!$C$7+Inputs!$C$17-Inputs!$C$29)</f>
        <v>2.11168268852463</v>
      </c>
      <c r="G70" s="41" t="n">
        <f aca="false">((LBO_Base!$C$97*G$64*(1-Inputs!$C$70)-LBO_Base!$H$90)-Inputs!$C$20*MAX(0,(LBO_Base!$C$97*G$64*(1-Inputs!$C$70)-LBO_Base!$H$90)-($A70*Inputs!$C$8*(1+Inputs!$C$16)+Transaction!$C$7+Inputs!$C$17-Inputs!$C$29)))/($A70*Inputs!$C$8*(1+Inputs!$C$16)+Transaction!$C$7+Inputs!$C$17-Inputs!$C$29)</f>
        <v>2.20588735765637</v>
      </c>
      <c r="H70" s="41" t="n">
        <f aca="false">((LBO_Base!$C$97*H$64*(1-Inputs!$C$70)-LBO_Base!$H$90)-Inputs!$C$20*MAX(0,(LBO_Base!$C$97*H$64*(1-Inputs!$C$70)-LBO_Base!$H$90)-($A70*Inputs!$C$8*(1+Inputs!$C$16)+Transaction!$C$7+Inputs!$C$17-Inputs!$C$29)))/($A70*Inputs!$C$8*(1+Inputs!$C$16)+Transaction!$C$7+Inputs!$C$17-Inputs!$C$29)</f>
        <v>2.30009202678812</v>
      </c>
      <c r="I70" s="41" t="n">
        <f aca="false">((LBO_Base!$C$97*I$64*(1-Inputs!$C$70)-LBO_Base!$H$90)-Inputs!$C$20*MAX(0,(LBO_Base!$C$97*I$64*(1-Inputs!$C$70)-LBO_Base!$H$90)-($A70*Inputs!$C$8*(1+Inputs!$C$16)+Transaction!$C$7+Inputs!$C$17-Inputs!$C$29)))/($A70*Inputs!$C$8*(1+Inputs!$C$16)+Transaction!$C$7+Inputs!$C$17-Inputs!$C$29)</f>
        <v>2.39429669591987</v>
      </c>
    </row>
    <row r="72" customFormat="false" ht="15" hidden="false" customHeight="false" outlineLevel="0" collapsed="false">
      <c r="A72" s="3" t="s">
        <v>424</v>
      </c>
      <c r="B72" s="4"/>
      <c r="C72" s="4"/>
      <c r="D72" s="4"/>
      <c r="E72" s="4"/>
      <c r="F72" s="4"/>
      <c r="G72" s="4"/>
      <c r="H72" s="4"/>
      <c r="I72" s="4"/>
      <c r="J72" s="4"/>
      <c r="K72" s="4"/>
    </row>
    <row r="73" customFormat="false" ht="15" hidden="false" customHeight="false" outlineLevel="0" collapsed="false">
      <c r="A73" s="6" t="s">
        <v>425</v>
      </c>
      <c r="B73" s="8" t="s">
        <v>426</v>
      </c>
      <c r="C73" s="47" t="n">
        <v>12</v>
      </c>
      <c r="D73" s="47" t="n">
        <v>12.5</v>
      </c>
      <c r="E73" s="47" t="n">
        <v>13</v>
      </c>
      <c r="F73" s="47" t="n">
        <v>13.5</v>
      </c>
      <c r="G73" s="47" t="n">
        <v>14</v>
      </c>
      <c r="H73" s="47" t="n">
        <v>14.5</v>
      </c>
      <c r="I73" s="47" t="n">
        <v>15</v>
      </c>
    </row>
    <row r="74" customFormat="false" ht="15" hidden="false" customHeight="false" outlineLevel="0" collapsed="false">
      <c r="A74" s="1" t="s">
        <v>98</v>
      </c>
      <c r="B74" s="30" t="n">
        <v>3</v>
      </c>
      <c r="C74" s="28" t="n">
        <f aca="false">(((INDEX(LBO_Base!$D$24:$H$24,$B74)*C$73*(1-Inputs!$C$70)-INDEX(LBO_Base!$D$90:$H$90,$B74))-Inputs!$C$20*MAX(0,(INDEX(LBO_Base!$D$24:$H$24,$B74)*C$73*(1-Inputs!$C$70)-INDEX(LBO_Base!$D$90:$H$90,$B74))-Transaction!$C$20))/Transaction!$C$20)^(1/$B74)-1</f>
        <v>0.144807924869916</v>
      </c>
      <c r="D74" s="28" t="n">
        <f aca="false">(((INDEX(LBO_Base!$D$24:$H$24,$B74)*D$73*(1-Inputs!$C$70)-INDEX(LBO_Base!$D$90:$H$90,$B74))-Inputs!$C$20*MAX(0,(INDEX(LBO_Base!$D$24:$H$24,$B74)*D$73*(1-Inputs!$C$70)-INDEX(LBO_Base!$D$90:$H$90,$B74))-Transaction!$C$20))/Transaction!$C$20)^(1/$B74)-1</f>
        <v>0.167591768523639</v>
      </c>
      <c r="E74" s="28" t="n">
        <f aca="false">(((INDEX(LBO_Base!$D$24:$H$24,$B74)*E$73*(1-Inputs!$C$70)-INDEX(LBO_Base!$D$90:$H$90,$B74))-Inputs!$C$20*MAX(0,(INDEX(LBO_Base!$D$24:$H$24,$B74)*E$73*(1-Inputs!$C$70)-INDEX(LBO_Base!$D$90:$H$90,$B74))-Transaction!$C$20))/Transaction!$C$20)^(1/$B74)-1</f>
        <v>0.189519522354727</v>
      </c>
      <c r="F74" s="28" t="n">
        <f aca="false">(((INDEX(LBO_Base!$D$24:$H$24,$B74)*F$73*(1-Inputs!$C$70)-INDEX(LBO_Base!$D$90:$H$90,$B74))-Inputs!$C$20*MAX(0,(INDEX(LBO_Base!$D$24:$H$24,$B74)*F$73*(1-Inputs!$C$70)-INDEX(LBO_Base!$D$90:$H$90,$B74))-Transaction!$C$20))/Transaction!$C$20)^(1/$B74)-1</f>
        <v>0.210667337504013</v>
      </c>
      <c r="G74" s="28" t="n">
        <f aca="false">(((INDEX(LBO_Base!$D$24:$H$24,$B74)*G$73*(1-Inputs!$C$70)-INDEX(LBO_Base!$D$90:$H$90,$B74))-Inputs!$C$20*MAX(0,(INDEX(LBO_Base!$D$24:$H$24,$B74)*G$73*(1-Inputs!$C$70)-INDEX(LBO_Base!$D$90:$H$90,$B74))-Transaction!$C$20))/Transaction!$C$20)^(1/$B74)-1</f>
        <v>0.231101073208156</v>
      </c>
      <c r="H74" s="28" t="n">
        <f aca="false">(((INDEX(LBO_Base!$D$24:$H$24,$B74)*H$73*(1-Inputs!$C$70)-INDEX(LBO_Base!$D$90:$H$90,$B74))-Inputs!$C$20*MAX(0,(INDEX(LBO_Base!$D$24:$H$24,$B74)*H$73*(1-Inputs!$C$70)-INDEX(LBO_Base!$D$90:$H$90,$B74))-Transaction!$C$20))/Transaction!$C$20)^(1/$B74)-1</f>
        <v>0.250878117584699</v>
      </c>
      <c r="I74" s="28" t="n">
        <f aca="false">(((INDEX(LBO_Base!$D$24:$H$24,$B74)*I$73*(1-Inputs!$C$70)-INDEX(LBO_Base!$D$90:$H$90,$B74))-Inputs!$C$20*MAX(0,(INDEX(LBO_Base!$D$24:$H$24,$B74)*I$73*(1-Inputs!$C$70)-INDEX(LBO_Base!$D$90:$H$90,$B74))-Transaction!$C$20))/Transaction!$C$20)^(1/$B74)-1</f>
        <v>0.270048817221227</v>
      </c>
    </row>
    <row r="75" customFormat="false" ht="15" hidden="false" customHeight="false" outlineLevel="0" collapsed="false">
      <c r="A75" s="1" t="s">
        <v>99</v>
      </c>
      <c r="B75" s="30" t="n">
        <v>4</v>
      </c>
      <c r="C75" s="28" t="n">
        <f aca="false">(((INDEX(LBO_Base!$D$24:$H$24,$B75)*C$73*(1-Inputs!$C$70)-INDEX(LBO_Base!$D$90:$H$90,$B75))-Inputs!$C$20*MAX(0,(INDEX(LBO_Base!$D$24:$H$24,$B75)*C$73*(1-Inputs!$C$70)-INDEX(LBO_Base!$D$90:$H$90,$B75))-Transaction!$C$20))/Transaction!$C$20)^(1/$B75)-1</f>
        <v>0.162228746996035</v>
      </c>
      <c r="D75" s="28" t="n">
        <f aca="false">(((INDEX(LBO_Base!$D$24:$H$24,$B75)*D$73*(1-Inputs!$C$70)-INDEX(LBO_Base!$D$90:$H$90,$B75))-Inputs!$C$20*MAX(0,(INDEX(LBO_Base!$D$24:$H$24,$B75)*D$73*(1-Inputs!$C$70)-INDEX(LBO_Base!$D$90:$H$90,$B75))-Transaction!$C$20))/Transaction!$C$20)^(1/$B75)-1</f>
        <v>0.178127291897522</v>
      </c>
      <c r="E75" s="28" t="n">
        <f aca="false">(((INDEX(LBO_Base!$D$24:$H$24,$B75)*E$73*(1-Inputs!$C$70)-INDEX(LBO_Base!$D$90:$H$90,$B75))-Inputs!$C$20*MAX(0,(INDEX(LBO_Base!$D$24:$H$24,$B75)*E$73*(1-Inputs!$C$70)-INDEX(LBO_Base!$D$90:$H$90,$B75))-Transaction!$C$20))/Transaction!$C$20)^(1/$B75)-1</f>
        <v>0.193407065646517</v>
      </c>
      <c r="F75" s="28" t="n">
        <f aca="false">(((INDEX(LBO_Base!$D$24:$H$24,$B75)*F$73*(1-Inputs!$C$70)-INDEX(LBO_Base!$D$90:$H$90,$B75))-Inputs!$C$20*MAX(0,(INDEX(LBO_Base!$D$24:$H$24,$B75)*F$73*(1-Inputs!$C$70)-INDEX(LBO_Base!$D$90:$H$90,$B75))-Transaction!$C$20))/Transaction!$C$20)^(1/$B75)-1</f>
        <v>0.208121502269964</v>
      </c>
      <c r="G75" s="28" t="n">
        <f aca="false">(((INDEX(LBO_Base!$D$24:$H$24,$B75)*G$73*(1-Inputs!$C$70)-INDEX(LBO_Base!$D$90:$H$90,$B75))-Inputs!$C$20*MAX(0,(INDEX(LBO_Base!$D$24:$H$24,$B75)*G$73*(1-Inputs!$C$70)-INDEX(LBO_Base!$D$90:$H$90,$B75))-Transaction!$C$20))/Transaction!$C$20)^(1/$B75)-1</f>
        <v>0.222317124144848</v>
      </c>
      <c r="H75" s="28" t="n">
        <f aca="false">(((INDEX(LBO_Base!$D$24:$H$24,$B75)*H$73*(1-Inputs!$C$70)-INDEX(LBO_Base!$D$90:$H$90,$B75))-Inputs!$C$20*MAX(0,(INDEX(LBO_Base!$D$24:$H$24,$B75)*H$73*(1-Inputs!$C$70)-INDEX(LBO_Base!$D$90:$H$90,$B75))-Transaction!$C$20))/Transaction!$C$20)^(1/$B75)-1</f>
        <v>0.236034706589717</v>
      </c>
      <c r="I75" s="28" t="n">
        <f aca="false">(((INDEX(LBO_Base!$D$24:$H$24,$B75)*I$73*(1-Inputs!$C$70)-INDEX(LBO_Base!$D$90:$H$90,$B75))-Inputs!$C$20*MAX(0,(INDEX(LBO_Base!$D$24:$H$24,$B75)*I$73*(1-Inputs!$C$70)-INDEX(LBO_Base!$D$90:$H$90,$B75))-Transaction!$C$20))/Transaction!$C$20)^(1/$B75)-1</f>
        <v>0.249310204540543</v>
      </c>
    </row>
    <row r="76" customFormat="false" ht="15" hidden="false" customHeight="false" outlineLevel="0" collapsed="false">
      <c r="A76" s="1" t="s">
        <v>100</v>
      </c>
      <c r="B76" s="30" t="n">
        <v>5</v>
      </c>
      <c r="C76" s="28" t="n">
        <f aca="false">(((INDEX(LBO_Base!$D$24:$H$24,$B76)*C$73*(1-Inputs!$C$70)-INDEX(LBO_Base!$D$90:$H$90,$B76))-Inputs!$C$20*MAX(0,(INDEX(LBO_Base!$D$24:$H$24,$B76)*C$73*(1-Inputs!$C$70)-INDEX(LBO_Base!$D$90:$H$90,$B76))-Transaction!$C$20))/Transaction!$C$20)^(1/$B76)-1</f>
        <v>0.165595619254794</v>
      </c>
      <c r="D76" s="28" t="n">
        <f aca="false">(((INDEX(LBO_Base!$D$24:$H$24,$B76)*D$73*(1-Inputs!$C$70)-INDEX(LBO_Base!$D$90:$H$90,$B76))-Inputs!$C$20*MAX(0,(INDEX(LBO_Base!$D$24:$H$24,$B76)*D$73*(1-Inputs!$C$70)-INDEX(LBO_Base!$D$90:$H$90,$B76))-Transaction!$C$20))/Transaction!$C$20)^(1/$B76)-1</f>
        <v>0.177462196706216</v>
      </c>
      <c r="E76" s="28" t="n">
        <f aca="false">(((INDEX(LBO_Base!$D$24:$H$24,$B76)*E$73*(1-Inputs!$C$70)-INDEX(LBO_Base!$D$90:$H$90,$B76))-Inputs!$C$20*MAX(0,(INDEX(LBO_Base!$D$24:$H$24,$B76)*E$73*(1-Inputs!$C$70)-INDEX(LBO_Base!$D$90:$H$90,$B76))-Transaction!$C$20))/Transaction!$C$20)^(1/$B76)-1</f>
        <v>0.188868833163958</v>
      </c>
      <c r="F76" s="28" t="n">
        <f aca="false">(((INDEX(LBO_Base!$D$24:$H$24,$B76)*F$73*(1-Inputs!$C$70)-INDEX(LBO_Base!$D$90:$H$90,$B76))-Inputs!$C$20*MAX(0,(INDEX(LBO_Base!$D$24:$H$24,$B76)*F$73*(1-Inputs!$C$70)-INDEX(LBO_Base!$D$90:$H$90,$B76))-Transaction!$C$20))/Transaction!$C$20)^(1/$B76)-1</f>
        <v>0.199853794058016</v>
      </c>
      <c r="G76" s="28" t="n">
        <f aca="false">(((INDEX(LBO_Base!$D$24:$H$24,$B76)*G$73*(1-Inputs!$C$70)-INDEX(LBO_Base!$D$90:$H$90,$B76))-Inputs!$C$20*MAX(0,(INDEX(LBO_Base!$D$24:$H$24,$B76)*G$73*(1-Inputs!$C$70)-INDEX(LBO_Base!$D$90:$H$90,$B76))-Transaction!$C$20))/Transaction!$C$20)^(1/$B76)-1</f>
        <v>0.210450610492145</v>
      </c>
      <c r="H76" s="28" t="n">
        <f aca="false">(((INDEX(LBO_Base!$D$24:$H$24,$B76)*H$73*(1-Inputs!$C$70)-INDEX(LBO_Base!$D$90:$H$90,$B76))-Inputs!$C$20*MAX(0,(INDEX(LBO_Base!$D$24:$H$24,$B76)*H$73*(1-Inputs!$C$70)-INDEX(LBO_Base!$D$90:$H$90,$B76))-Transaction!$C$20))/Transaction!$C$20)^(1/$B76)-1</f>
        <v>0.220688840682177</v>
      </c>
      <c r="I76" s="28" t="n">
        <f aca="false">(((INDEX(LBO_Base!$D$24:$H$24,$B76)*I$73*(1-Inputs!$C$70)-INDEX(LBO_Base!$D$90:$H$90,$B76))-Inputs!$C$20*MAX(0,(INDEX(LBO_Base!$D$24:$H$24,$B76)*I$73*(1-Inputs!$C$70)-INDEX(LBO_Base!$D$90:$H$90,$B76))-Transaction!$C$20))/Transaction!$C$20)^(1/$B76)-1</f>
        <v>0.230594682958993</v>
      </c>
    </row>
    <row r="78" customFormat="false" ht="15" hidden="false" customHeight="false" outlineLevel="0" collapsed="false">
      <c r="A78" s="3" t="s">
        <v>427</v>
      </c>
      <c r="B78" s="4"/>
      <c r="C78" s="4"/>
      <c r="D78" s="4"/>
      <c r="E78" s="4"/>
      <c r="F78" s="4"/>
      <c r="G78" s="4"/>
      <c r="H78" s="4"/>
      <c r="I78" s="4"/>
      <c r="J78" s="4"/>
      <c r="K78" s="4"/>
    </row>
    <row r="79" customFormat="false" ht="15" hidden="false" customHeight="false" outlineLevel="0" collapsed="false">
      <c r="A79" s="5" t="s">
        <v>428</v>
      </c>
      <c r="B79" s="14" t="s">
        <v>122</v>
      </c>
      <c r="C79" s="36" t="n">
        <f aca="false">IF(ABS(Transaction!C17)&lt;0.001,1,0)</f>
        <v>1</v>
      </c>
    </row>
    <row r="80" customFormat="false" ht="15" hidden="false" customHeight="false" outlineLevel="0" collapsed="false">
      <c r="A80" s="5" t="s">
        <v>429</v>
      </c>
      <c r="B80" s="14" t="s">
        <v>122</v>
      </c>
      <c r="C80" s="36" t="n">
        <f aca="false">IF(ABS(LBO_Base!C134)+ABS(LBO_Mgmt!C134)+ABS(LBO_Down!C134)&lt;0.001,1,0)</f>
        <v>1</v>
      </c>
    </row>
    <row r="81" customFormat="false" ht="15" hidden="false" customHeight="false" outlineLevel="0" collapsed="false">
      <c r="A81" s="5" t="s">
        <v>430</v>
      </c>
      <c r="B81" s="14" t="s">
        <v>122</v>
      </c>
      <c r="C81" s="36" t="n">
        <f aca="false">IF(SUMPRODUCT(ABS(LBO_Base!D94:H94))+SUMPRODUCT(ABS(LBO_Mgmt!D94:H94))+SUMPRODUCT(ABS(LBO_Down!D94:H94))&lt;0.001,1,0)</f>
        <v>1</v>
      </c>
    </row>
    <row r="82" customFormat="false" ht="15" hidden="false" customHeight="false" outlineLevel="0" collapsed="false">
      <c r="A82" s="5" t="s">
        <v>431</v>
      </c>
      <c r="B82" s="14" t="s">
        <v>122</v>
      </c>
      <c r="C82" s="36" t="n">
        <f aca="false">MIN(LBO_Base!C138,LBO_Mgmt!C138,LBO_Down!C138)</f>
        <v>1</v>
      </c>
    </row>
    <row r="83" customFormat="false" ht="15" hidden="false" customHeight="false" outlineLevel="0" collapsed="false">
      <c r="A83" s="5" t="s">
        <v>432</v>
      </c>
      <c r="B83" s="14" t="s">
        <v>122</v>
      </c>
      <c r="C83" s="36" t="n">
        <f aca="false">MIN(LBO_Base!C139,LBO_Mgmt!C139,LBO_Down!C139)</f>
        <v>1</v>
      </c>
    </row>
    <row r="84" customFormat="false" ht="15" hidden="false" customHeight="false" outlineLevel="0" collapsed="false">
      <c r="A84" s="5" t="s">
        <v>433</v>
      </c>
      <c r="B84" s="14" t="s">
        <v>122</v>
      </c>
      <c r="C84" s="36" t="n">
        <f aca="false">MIN(LBO_Base!C140,LBO_Mgmt!C140,LBO_Down!C140)</f>
        <v>1</v>
      </c>
    </row>
    <row r="85" customFormat="false" ht="15" hidden="false" customHeight="false" outlineLevel="0" collapsed="false">
      <c r="A85" s="5" t="s">
        <v>434</v>
      </c>
      <c r="B85" s="14" t="s">
        <v>122</v>
      </c>
      <c r="C85" s="36" t="n">
        <f aca="false">IF(ABS(LBO_Base!C110)+ABS(LBO_Mgmt!C110)+ABS(LBO_Down!C110)&lt;0.0001,1,0)</f>
        <v>1</v>
      </c>
    </row>
    <row r="86" customFormat="false" ht="15" hidden="false" customHeight="false" outlineLevel="0" collapsed="false">
      <c r="A86" s="5" t="s">
        <v>435</v>
      </c>
      <c r="B86" s="14" t="s">
        <v>122</v>
      </c>
      <c r="C86" s="36" t="n">
        <f aca="false">IF(ABS(F51)&lt;0.0001,1,0)</f>
        <v>1</v>
      </c>
    </row>
    <row r="87" customFormat="false" ht="15" hidden="false" customHeight="false" outlineLevel="0" collapsed="false">
      <c r="A87" s="1" t="s">
        <v>436</v>
      </c>
      <c r="C87" s="49" t="n">
        <f aca="false">MIN(C79:C86)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2026-10-01T10:26:48Z</dcterms:created>
  <dc:creator>openpyxl</dc:creator>
  <dc:description/>
  <dc:language>en-US</dc:language>
  <cp:lastModifiedBy/>
  <dcterms:modified xsi:type="dcterms:W3CDTF">2026-10-01T10:26:48Z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